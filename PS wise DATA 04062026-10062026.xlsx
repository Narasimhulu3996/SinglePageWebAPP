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686" firstSheet="12" activeTab="12"/>
  </bookViews>
  <sheets>
    <sheet name="MedLEaPR-MLC" sheetId="2" r:id="rId1"/>
    <sheet name="MedLEaPR-PMR" sheetId="3" r:id="rId2"/>
    <sheet name="DGP Dashboard" sheetId="4" r:id="rId3"/>
    <sheet name="IIFS-TILLDATE" sheetId="6" r:id="rId4"/>
    <sheet name="IIF1-7" sheetId="5" r:id="rId5"/>
    <sheet name="IIF8-15" sheetId="7" r:id="rId6"/>
    <sheet name="ZERO FIR" sheetId="10" r:id="rId7"/>
    <sheet name="eProsecution" sheetId="1" r:id="rId8"/>
    <sheet name="CitizenportaPetition" sheetId="11" r:id="rId9"/>
    <sheet name="eSakshya" sheetId="12" r:id="rId10"/>
    <sheet name="Cri.MAC" sheetId="13" r:id="rId11"/>
    <sheet name="FIRs&amp;CS Consm in Court" sheetId="14" r:id="rId12"/>
    <sheet name="APOLIS" sheetId="16" r:id="rId13"/>
    <sheet name="DroneFlying" sheetId="17" r:id="rId14"/>
    <sheet name="Dail-112 TABs" sheetId="18" r:id="rId15"/>
    <sheet name="Dail-112 Response" sheetId="19" r:id="rId16"/>
    <sheet name="CCTV360" sheetId="20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<sst xmlns="http://schemas.openxmlformats.org/spreadsheetml/2006/main" count="719" uniqueCount="166">
  <si>
    <t>MedLEaPR- MLC  from 04-06-2026 to 10-06-2026</t>
  </si>
  <si>
    <t>Sl.No</t>
  </si>
  <si>
    <t>Name of the PS</t>
  </si>
  <si>
    <t>Required</t>
  </si>
  <si>
    <t>Generated</t>
  </si>
  <si>
    <t>Raw Value</t>
  </si>
  <si>
    <t>Marks</t>
  </si>
  <si>
    <t>Punganur UPS</t>
  </si>
  <si>
    <t>Madanapalle Rural UPS</t>
  </si>
  <si>
    <t>Sodam</t>
  </si>
  <si>
    <t>Madanapalle II Town UPS</t>
  </si>
  <si>
    <t>B.Kothakota UPS</t>
  </si>
  <si>
    <t>Ramasamudram</t>
  </si>
  <si>
    <t>Nimmanapalle</t>
  </si>
  <si>
    <t>P.T.Samudram (PTM)</t>
  </si>
  <si>
    <t>Mulakalacheruvu</t>
  </si>
  <si>
    <t>Mudiveedu</t>
  </si>
  <si>
    <t>Thamballapalli</t>
  </si>
  <si>
    <t>Somala</t>
  </si>
  <si>
    <t>Peddamandayam</t>
  </si>
  <si>
    <t>Madanapalle I Town UPS</t>
  </si>
  <si>
    <t>Chowdepalli</t>
  </si>
  <si>
    <t>Kalikiri UPS</t>
  </si>
  <si>
    <t>Rayachoty UPS</t>
  </si>
  <si>
    <t>Lakkireddipalli</t>
  </si>
  <si>
    <t>Kalakada</t>
  </si>
  <si>
    <t>Piler UPS</t>
  </si>
  <si>
    <t>Voyalpad</t>
  </si>
  <si>
    <t>Ramapuram</t>
  </si>
  <si>
    <t>Rayachoty Traffic</t>
  </si>
  <si>
    <t>K.V.Palli</t>
  </si>
  <si>
    <t>Galiveedu</t>
  </si>
  <si>
    <t>Gurramkonda</t>
  </si>
  <si>
    <t>Sambepalli</t>
  </si>
  <si>
    <t>Chinnamandem</t>
  </si>
  <si>
    <t>Grand Total</t>
  </si>
  <si>
    <t>MedLEaPR- PMR from 04-06-2026 to 10-06-2026</t>
  </si>
  <si>
    <t xml:space="preserve">Required </t>
  </si>
  <si>
    <t>DGP Dashboard from 04-06-2026 to 10-06-2026</t>
  </si>
  <si>
    <t>Submitted</t>
  </si>
  <si>
    <t>District Total</t>
  </si>
  <si>
    <t>IIFs 1 TO 7 - TILL DATE</t>
  </si>
  <si>
    <t>S.No</t>
  </si>
  <si>
    <t>PS</t>
  </si>
  <si>
    <t>FIR</t>
  </si>
  <si>
    <t>CDF</t>
  </si>
  <si>
    <t>ACS</t>
  </si>
  <si>
    <t>PSS</t>
  </si>
  <si>
    <t>CD PartI</t>
  </si>
  <si>
    <t>CD Part II</t>
  </si>
  <si>
    <t>Charge Sheet</t>
  </si>
  <si>
    <t>Final Report</t>
  </si>
  <si>
    <t>Court Disposal</t>
  </si>
  <si>
    <t>History Sheets</t>
  </si>
  <si>
    <t>Lok Adalat Disposal</t>
  </si>
  <si>
    <t>41 Crpc</t>
  </si>
  <si>
    <t>Forms/
FIR</t>
  </si>
  <si>
    <t>IIFs 1 TO 7  -Between 04/06/2026 And 10/06/2026</t>
  </si>
  <si>
    <t>Forms/ FIR</t>
  </si>
  <si>
    <t>IIFs 8 TO 15  -Between 04/06/2026 And 10/06/2026</t>
  </si>
  <si>
    <t>Result of Appeal</t>
  </si>
  <si>
    <t>Missing</t>
  </si>
  <si>
    <t>Abandoned Person entry</t>
  </si>
  <si>
    <t>Unidentified Dead Body</t>
  </si>
  <si>
    <t>Unnatural Death</t>
  </si>
  <si>
    <t>Gang Profile</t>
  </si>
  <si>
    <t>Member Details</t>
  </si>
  <si>
    <t>Gang Activity Details</t>
  </si>
  <si>
    <t>Unclaimed Property</t>
  </si>
  <si>
    <t>Total Docum</t>
  </si>
  <si>
    <t>ZERO FIRS FROM 04-06-2026 TO 10-06-2026</t>
  </si>
  <si>
    <t>No. of Zero FIRs Registered</t>
  </si>
  <si>
    <t>Pending to Transfer</t>
  </si>
  <si>
    <t>No. of Zero FIRs Received</t>
  </si>
  <si>
    <t>Pending to  Re-Register</t>
  </si>
  <si>
    <t>GRAND TOTAL</t>
  </si>
  <si>
    <t>e-Prosecution data 
from 04-06-2026 to 10-06-2026</t>
  </si>
  <si>
    <t>Applied This Week</t>
  </si>
  <si>
    <t>Total applied</t>
  </si>
  <si>
    <t>Opinion Received</t>
  </si>
  <si>
    <t>Mark</t>
  </si>
  <si>
    <t>DISTRICT TOTAL</t>
  </si>
  <si>
    <t>Citizen Portal Petitions  FROM 04-06-2026 TO 10-06-2026</t>
  </si>
  <si>
    <t>Total Online Petitions</t>
  </si>
  <si>
    <t>Total Disposal Petitions</t>
  </si>
  <si>
    <t>Total Pending Petitions</t>
  </si>
  <si>
    <t>B.Kothakota ups</t>
  </si>
  <si>
    <t>Kalikiri ups</t>
  </si>
  <si>
    <t>Madanapalle I Town ups</t>
  </si>
  <si>
    <t>Madanapalle II Town ups</t>
  </si>
  <si>
    <t>Madanapalle Rural ups</t>
  </si>
  <si>
    <t>Rayachoty ups</t>
  </si>
  <si>
    <t>e-Sakshya from 04-06-2026 TO 10-06-2026</t>
  </si>
  <si>
    <t>Unit Name</t>
  </si>
  <si>
    <t>No. of FIRs registered in CCTNS</t>
  </si>
  <si>
    <t>No. of FIRs with SIDs Created</t>
  </si>
  <si>
    <t>Total SIDs Created</t>
  </si>
  <si>
    <t>SIDs - Linked with FIR</t>
  </si>
  <si>
    <t>SIDs - Pending for Linking</t>
  </si>
  <si>
    <t>SIDs - Marked for Deletion</t>
  </si>
  <si>
    <t>Cri.MAC FROM 04-06-2026 TO 10-06-2026</t>
  </si>
  <si>
    <t>Major
Heinous
Crimes</t>
  </si>
  <si>
    <t>Notorious
Criminals
(Arrested /
Wanted)</t>
  </si>
  <si>
    <t>Important
Seizure /
Recoveries</t>
  </si>
  <si>
    <t>Jail Releases
of Notorious Criminals</t>
  </si>
  <si>
    <t>Jail Breaks</t>
  </si>
  <si>
    <t>Major
Human
Trafficking
Recoveries</t>
  </si>
  <si>
    <t>High Alerts / Hue &amp; Cry Notices</t>
  </si>
  <si>
    <t>Total
no. of
Alerts Uploaded</t>
  </si>
  <si>
    <t>FIRs &amp; Charge Sheet Consumed in Court</t>
  </si>
  <si>
    <t>Police Station</t>
  </si>
  <si>
    <t>Total FIRs Registered</t>
  </si>
  <si>
    <t>FIRs Consumed in Court</t>
  </si>
  <si>
    <t>FIR Raw Value</t>
  </si>
  <si>
    <t>FIR SoreMarks</t>
  </si>
  <si>
    <t>CS/FR Filed</t>
  </si>
  <si>
    <t>Charge Sheets Consumed in Court</t>
  </si>
  <si>
    <t>CS Raw Value</t>
  </si>
  <si>
    <t>CS Marks</t>
  </si>
  <si>
    <t>Rayachoty</t>
  </si>
  <si>
    <t>Madanapalle Rural</t>
  </si>
  <si>
    <t>Madanapalle II Town</t>
  </si>
  <si>
    <t>Madanapalle I Town</t>
  </si>
  <si>
    <t>B.Kothakota</t>
  </si>
  <si>
    <t>Kalikiri</t>
  </si>
  <si>
    <t>Piler</t>
  </si>
  <si>
    <t/>
  </si>
  <si>
    <t>APOLIS APP &amp; APRs  from 04-06-2026 to 10-06-2026</t>
  </si>
  <si>
    <t>Total Employees</t>
  </si>
  <si>
    <t>No.of  App Downloads</t>
  </si>
  <si>
    <t>APP 
Raw Value</t>
  </si>
  <si>
    <t>APP_Marks
(2.5)</t>
  </si>
  <si>
    <t>Total APRs Submitted</t>
  </si>
  <si>
    <t>APR Raw Value</t>
  </si>
  <si>
    <t>APR_Marks
(2.5)</t>
  </si>
  <si>
    <t>Dron Flying Hours from 04-06-2026 to 10-06-2026</t>
  </si>
  <si>
    <t>Hours</t>
  </si>
  <si>
    <t xml:space="preserve">Minitues </t>
  </si>
  <si>
    <t xml:space="preserve">Seconds </t>
  </si>
  <si>
    <t>total Fltying Hosuer</t>
  </si>
  <si>
    <t>Dail 112 TABs Connected to ERSS 
from 04-06-2026 to 10-06-2026</t>
  </si>
  <si>
    <t>Total Tabs
 Config</t>
  </si>
  <si>
    <t>No. of Tabs Connected</t>
  </si>
  <si>
    <t>No. of Tabs DisConnected</t>
  </si>
  <si>
    <t>Dail 112 Respons Time from 04-06-2026 to 10-06-2026</t>
  </si>
  <si>
    <t xml:space="preserve">Total calls </t>
  </si>
  <si>
    <t>No. of Calls Assigned to Tabs</t>
  </si>
  <si>
    <t>No. of Calls not Assigned</t>
  </si>
  <si>
    <t>Average Response Time
(HH:MM:SS)</t>
  </si>
  <si>
    <t>CCTV 360 ALERTS from 04-06-2026 to 10-06-2026</t>
  </si>
  <si>
    <t>No. of Missing FIR Registered</t>
  </si>
  <si>
    <t>No. of Alerts for Mising Persons</t>
  </si>
  <si>
    <t>Missing Raw Value</t>
  </si>
  <si>
    <t>MissingMarks
(1.25)</t>
  </si>
  <si>
    <t>No. of Stolen Vehicle FIR Registered</t>
  </si>
  <si>
    <t>No. of Alerts for Stolen Vehicle</t>
  </si>
  <si>
    <t>Vehicle Raw Value</t>
  </si>
  <si>
    <t>Vehicle Marks
(1.25)</t>
  </si>
  <si>
    <t>No. of Alerts Received for Tracking</t>
  </si>
  <si>
    <t>No.of Alerts Verified</t>
  </si>
  <si>
    <t>Alert traceing Raw Value</t>
  </si>
  <si>
    <t>Alerts tracking Marks
(1.25)</t>
  </si>
  <si>
    <t>No. of  Alerts Received for Criminals</t>
  </si>
  <si>
    <t>Criminal Raw Value</t>
  </si>
  <si>
    <t>Criminal Marks
(1.25)</t>
  </si>
  <si>
    <t>Marks 
(5 )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</si>
</sst>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:ss"/>
    <numFmt numFmtId="181" formatCode="0.00_ "/>
    <numFmt numFmtId="182" formatCode="[$-409]h:mm:ss\ AM/PM;@"/>
    <numFmt numFmtId="183" formatCode="0;\-0;;@"/>
  </numFmts>
  <fonts count="6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rgb="FFFF0000"/>
      <name val="Bookman Old Style"/>
      <charset val="134"/>
    </font>
    <font>
      <b/>
      <sz val="11"/>
      <name val="Bookman Old Style"/>
      <charset val="134"/>
    </font>
    <font>
      <b/>
      <sz val="11"/>
      <color rgb="FF000000"/>
      <name val="Times New Roman"/>
      <charset val="134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b/>
      <sz val="12"/>
      <color rgb="FFFF0000"/>
      <name val="Bookman Old Style"/>
      <charset val="134"/>
    </font>
    <font>
      <b/>
      <sz val="12"/>
      <name val="Bookman Old Style"/>
      <charset val="134"/>
    </font>
    <font>
      <b/>
      <sz val="12"/>
      <color rgb="FF000000"/>
      <name val="Bookman Old Style"/>
      <charset val="134"/>
    </font>
    <font>
      <sz val="12"/>
      <name val="Bookman Old Style"/>
      <charset val="134"/>
    </font>
    <font>
      <b/>
      <sz val="14"/>
      <color rgb="FFFF0000"/>
      <name val="Bookman Old Style"/>
      <charset val="134"/>
    </font>
    <font>
      <sz val="11"/>
      <name val="Bookman Old Style"/>
      <charset val="134"/>
    </font>
    <font>
      <b/>
      <sz val="11"/>
      <name val="Bookman Old Style"/>
      <charset val="0"/>
    </font>
    <font>
      <b/>
      <sz val="11"/>
      <color rgb="FFFF0000"/>
      <name val="Bookman Old Style"/>
      <charset val="0"/>
    </font>
    <font>
      <b/>
      <sz val="11"/>
      <name val="sans-serif"/>
      <charset val="134"/>
    </font>
    <font>
      <b/>
      <sz val="22"/>
      <color rgb="FFFF0000"/>
      <name val="Bookman Old Style"/>
      <charset val="134"/>
    </font>
    <font>
      <b/>
      <sz val="11"/>
      <color theme="1"/>
      <name val="Calbri"/>
      <charset val="134"/>
    </font>
    <font>
      <b/>
      <sz val="11"/>
      <color rgb="FF000000"/>
      <name val="Calbri"/>
      <charset val="134"/>
    </font>
    <font>
      <sz val="11"/>
      <name val="Calibri"/>
      <charset val="134"/>
      <scheme val="minor"/>
    </font>
    <font>
      <sz val="22"/>
      <name val="Bookman Old Style"/>
      <charset val="134"/>
    </font>
    <font>
      <b/>
      <sz val="22"/>
      <name val="Bookman Old Style"/>
      <charset val="134"/>
    </font>
    <font>
      <sz val="11"/>
      <color indexed="8"/>
      <name val="Bookman Old Style"/>
      <charset val="0"/>
    </font>
    <font>
      <sz val="11"/>
      <name val="Bookman Old Style"/>
      <charset val="0"/>
    </font>
    <font>
      <b/>
      <sz val="11"/>
      <color rgb="FFFF0000"/>
      <name val="Calibri"/>
      <charset val="134"/>
      <scheme val="minor"/>
    </font>
    <font>
      <b/>
      <sz val="11"/>
      <color indexed="8"/>
      <name val="Bookman Old Style"/>
      <charset val="0"/>
    </font>
    <font>
      <b/>
      <sz val="11"/>
      <color theme="1"/>
      <name val="Bookman Old Style"/>
      <charset val="134"/>
    </font>
    <font>
      <b/>
      <sz val="11"/>
      <color rgb="FFFF0000"/>
      <name val="Bookman Old Style"/>
      <charset val="134"/>
    </font>
    <font>
      <b/>
      <sz val="12"/>
      <color rgb="FF000000"/>
      <name val="Times New Roman"/>
      <charset val="134"/>
    </font>
    <font>
      <sz val="11"/>
      <color indexed="8"/>
      <name val="Bookman Old Style"/>
      <charset val="134"/>
    </font>
    <font>
      <sz val="10"/>
      <color rgb="FF000000"/>
      <name val="Calibri"/>
      <charset val="134"/>
      <scheme val="minor"/>
    </font>
    <font>
      <b/>
      <sz val="16"/>
      <color theme="1"/>
      <name val="Bookman Old Style"/>
      <charset val="134"/>
    </font>
    <font>
      <sz val="11"/>
      <color theme="1"/>
      <name val="Bookman Old Style"/>
      <charset val="134"/>
    </font>
    <font>
      <b/>
      <sz val="12"/>
      <color theme="0"/>
      <name val="Bookman Old Style"/>
      <charset val="134"/>
    </font>
    <font>
      <sz val="10"/>
      <color theme="0"/>
      <name val="Calibri"/>
      <charset val="134"/>
      <scheme val="minor"/>
    </font>
    <font>
      <b/>
      <sz val="18"/>
      <color theme="0"/>
      <name val="Bookman Old Style"/>
      <charset val="134"/>
    </font>
    <font>
      <sz val="10"/>
      <color theme="1"/>
      <name val="Calibri"/>
      <charset val="134"/>
      <scheme val="minor"/>
    </font>
    <font>
      <b/>
      <sz val="10"/>
      <color rgb="FF000000"/>
      <name val="Times New Roman"/>
      <charset val="134"/>
    </font>
    <font>
      <b/>
      <sz val="14"/>
      <color indexed="8"/>
      <name val="Times New Roman"/>
      <charset val="0"/>
    </font>
    <font>
      <sz val="10"/>
      <color indexed="8"/>
      <name val="Times New Roman"/>
      <charset val="0"/>
    </font>
    <font>
      <sz val="9"/>
      <color indexed="8"/>
      <name val="Times New Roman"/>
      <charset val="0"/>
    </font>
    <font>
      <b/>
      <sz val="14"/>
      <color rgb="FFFFFFFF"/>
      <name val="Bookman Old Style"/>
      <charset val="134"/>
    </font>
    <font>
      <b/>
      <sz val="12"/>
      <color rgb="FFFFFFFF"/>
      <name val="Bookman Old Style"/>
      <charset val="134"/>
    </font>
    <font>
      <sz val="12"/>
      <color rgb="FF000000"/>
      <name val="Bookman Old Style"/>
      <charset val="134"/>
    </font>
    <font>
      <b/>
      <sz val="18"/>
      <color rgb="FFFFFFFF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599"/>
        <bgColor rgb="FFFFE599"/>
      </patternFill>
    </fill>
    <fill>
      <patternFill patternType="solid">
        <fgColor rgb="FFC00000"/>
        <bgColor theme="9"/>
      </patternFill>
    </fill>
    <fill>
      <patternFill patternType="solid">
        <fgColor rgb="FFC0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6" borderId="19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0" borderId="21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17" borderId="22" applyNumberFormat="0" applyAlignment="0" applyProtection="0">
      <alignment vertical="center"/>
    </xf>
    <xf numFmtId="0" fontId="54" fillId="18" borderId="23" applyNumberFormat="0" applyAlignment="0" applyProtection="0">
      <alignment vertical="center"/>
    </xf>
    <xf numFmtId="0" fontId="55" fillId="18" borderId="22" applyNumberFormat="0" applyAlignment="0" applyProtection="0">
      <alignment vertical="center"/>
    </xf>
    <xf numFmtId="0" fontId="56" fillId="19" borderId="24" applyNumberFormat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1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2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2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3" fillId="36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63" fillId="38" borderId="0" applyNumberFormat="0" applyBorder="0" applyAlignment="0" applyProtection="0">
      <alignment vertical="center"/>
    </xf>
    <xf numFmtId="0" fontId="63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2" fillId="41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horizontal="center" vertical="center"/>
    </xf>
    <xf numFmtId="180" fontId="5" fillId="0" borderId="9" xfId="0" applyNumberFormat="1" applyFont="1" applyFill="1" applyBorder="1" applyAlignment="1">
      <alignment horizontal="center"/>
    </xf>
    <xf numFmtId="181" fontId="5" fillId="0" borderId="9" xfId="0" applyNumberFormat="1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 wrapText="1"/>
    </xf>
    <xf numFmtId="180" fontId="6" fillId="0" borderId="9" xfId="0" applyNumberFormat="1" applyFont="1" applyFill="1" applyBorder="1" applyAlignment="1">
      <alignment horizontal="center"/>
    </xf>
    <xf numFmtId="181" fontId="6" fillId="0" borderId="9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12" fillId="0" borderId="9" xfId="23" applyFont="1" applyFill="1" applyBorder="1" applyAlignment="1">
      <alignment horizontal="left" vertical="center"/>
    </xf>
    <xf numFmtId="0" fontId="12" fillId="0" borderId="9" xfId="0" applyFont="1" applyFill="1" applyBorder="1" applyAlignment="1">
      <alignment horizontal="center" vertical="center"/>
    </xf>
    <xf numFmtId="181" fontId="13" fillId="6" borderId="9" xfId="0" applyNumberFormat="1" applyFont="1" applyFill="1" applyBorder="1" applyAlignment="1" applyProtection="1">
      <alignment horizontal="center" vertical="center" wrapText="1"/>
    </xf>
    <xf numFmtId="181" fontId="14" fillId="6" borderId="9" xfId="0" applyNumberFormat="1" applyFont="1" applyFill="1" applyBorder="1" applyAlignment="1" applyProtection="1">
      <alignment horizontal="center" vertical="center" wrapText="1"/>
    </xf>
    <xf numFmtId="0" fontId="12" fillId="0" borderId="9" xfId="0" applyFont="1" applyFill="1" applyBorder="1" applyAlignment="1">
      <alignment horizontal="left"/>
    </xf>
    <xf numFmtId="0" fontId="11" fillId="2" borderId="0" xfId="0" applyFont="1" applyFill="1" applyAlignment="1">
      <alignment horizontal="center" vertical="center"/>
    </xf>
    <xf numFmtId="0" fontId="15" fillId="7" borderId="1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vertical="center"/>
    </xf>
    <xf numFmtId="182" fontId="5" fillId="0" borderId="9" xfId="0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/>
    </xf>
    <xf numFmtId="0" fontId="17" fillId="3" borderId="9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2" fontId="17" fillId="4" borderId="9" xfId="0" applyNumberFormat="1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  <xf numFmtId="0" fontId="19" fillId="0" borderId="0" xfId="0" applyFont="1">
      <alignment vertical="center"/>
    </xf>
    <xf numFmtId="0" fontId="16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81" fontId="22" fillId="0" borderId="9" xfId="0" applyNumberFormat="1" applyFont="1" applyFill="1" applyBorder="1" applyAlignment="1" applyProtection="1">
      <alignment horizontal="center" vertical="center" wrapText="1"/>
    </xf>
    <xf numFmtId="181" fontId="23" fillId="0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8" borderId="9" xfId="0" applyFont="1" applyFill="1" applyBorder="1" applyAlignment="1" applyProtection="1">
      <alignment horizontal="center" vertical="center" wrapText="1"/>
    </xf>
    <xf numFmtId="2" fontId="25" fillId="8" borderId="9" xfId="0" applyNumberFormat="1" applyFont="1" applyFill="1" applyBorder="1" applyAlignment="1" applyProtection="1">
      <alignment horizontal="center" vertical="center" wrapText="1"/>
    </xf>
    <xf numFmtId="0" fontId="14" fillId="8" borderId="9" xfId="0" applyFont="1" applyFill="1" applyBorder="1" applyAlignment="1" applyProtection="1">
      <alignment horizontal="center" vertical="center" wrapText="1"/>
    </xf>
    <xf numFmtId="0" fontId="22" fillId="8" borderId="9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2" fontId="26" fillId="6" borderId="9" xfId="0" applyNumberFormat="1" applyFont="1" applyFill="1" applyBorder="1" applyAlignment="1">
      <alignment horizontal="center" vertical="center" wrapText="1"/>
    </xf>
    <xf numFmtId="0" fontId="27" fillId="6" borderId="9" xfId="0" applyFont="1" applyFill="1" applyBorder="1" applyAlignment="1">
      <alignment horizontal="center" vertical="center"/>
    </xf>
    <xf numFmtId="0" fontId="22" fillId="8" borderId="9" xfId="0" applyNumberFormat="1" applyFont="1" applyFill="1" applyBorder="1" applyAlignment="1" applyProtection="1">
      <alignment horizontal="center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 wrapText="1"/>
    </xf>
    <xf numFmtId="2" fontId="22" fillId="6" borderId="9" xfId="0" applyNumberFormat="1" applyFont="1" applyFill="1" applyBorder="1" applyAlignment="1" applyProtection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1" fontId="26" fillId="6" borderId="9" xfId="0" applyNumberFormat="1" applyFont="1" applyFill="1" applyBorder="1" applyAlignment="1">
      <alignment horizontal="center" vertical="center" wrapText="1"/>
    </xf>
    <xf numFmtId="181" fontId="22" fillId="6" borderId="9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8" fillId="5" borderId="9" xfId="0" applyFont="1" applyFill="1" applyBorder="1" applyAlignment="1">
      <alignment horizontal="center" vertical="center" wrapText="1"/>
    </xf>
    <xf numFmtId="0" fontId="29" fillId="0" borderId="9" xfId="0" applyFont="1" applyFill="1" applyBorder="1" applyAlignment="1"/>
    <xf numFmtId="0" fontId="29" fillId="0" borderId="9" xfId="0" applyFont="1" applyFill="1" applyBorder="1" applyAlignment="1">
      <alignment horizontal="center"/>
    </xf>
    <xf numFmtId="0" fontId="26" fillId="0" borderId="9" xfId="0" applyFont="1" applyBorder="1" applyAlignment="1">
      <alignment horizontal="center" vertical="center"/>
    </xf>
    <xf numFmtId="0" fontId="25" fillId="8" borderId="9" xfId="0" applyNumberFormat="1" applyFont="1" applyFill="1" applyBorder="1" applyAlignment="1" applyProtection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30" fillId="0" borderId="0" xfId="0" applyFont="1" applyFill="1" applyAlignment="1"/>
    <xf numFmtId="0" fontId="30" fillId="0" borderId="0" xfId="0" applyFont="1" applyFill="1" applyAlignment="1">
      <alignment horizontal="center"/>
    </xf>
    <xf numFmtId="0" fontId="31" fillId="9" borderId="9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32" fillId="0" borderId="9" xfId="0" applyFont="1" applyFill="1" applyBorder="1" applyAlignment="1">
      <alignment vertical="center"/>
    </xf>
    <xf numFmtId="0" fontId="5" fillId="6" borderId="9" xfId="0" applyFont="1" applyFill="1" applyBorder="1" applyAlignment="1">
      <alignment horizontal="center" vertical="center"/>
    </xf>
    <xf numFmtId="0" fontId="33" fillId="10" borderId="9" xfId="0" applyFont="1" applyFill="1" applyBorder="1" applyAlignment="1">
      <alignment horizontal="center" vertical="center"/>
    </xf>
    <xf numFmtId="0" fontId="34" fillId="11" borderId="9" xfId="0" applyFont="1" applyFill="1" applyBorder="1" applyAlignment="1"/>
    <xf numFmtId="0" fontId="35" fillId="10" borderId="9" xfId="0" applyFont="1" applyFill="1" applyBorder="1" applyAlignment="1">
      <alignment horizontal="center" vertical="center"/>
    </xf>
    <xf numFmtId="0" fontId="36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vertical="center"/>
    </xf>
    <xf numFmtId="0" fontId="22" fillId="8" borderId="9" xfId="0" applyFont="1" applyFill="1" applyBorder="1" applyAlignment="1" applyProtection="1">
      <alignment horizontal="left" vertical="center" wrapText="1"/>
    </xf>
    <xf numFmtId="0" fontId="22" fillId="6" borderId="9" xfId="0" applyNumberFormat="1" applyFont="1" applyFill="1" applyBorder="1" applyAlignment="1" applyProtection="1">
      <alignment horizontal="center" vertical="center" wrapText="1"/>
    </xf>
    <xf numFmtId="0" fontId="14" fillId="6" borderId="9" xfId="0" applyNumberFormat="1" applyFont="1" applyFill="1" applyBorder="1" applyAlignment="1" applyProtection="1">
      <alignment horizontal="center" vertical="center" wrapText="1"/>
    </xf>
    <xf numFmtId="0" fontId="25" fillId="8" borderId="9" xfId="0" applyFont="1" applyFill="1" applyBorder="1" applyAlignment="1" applyProtection="1">
      <alignment horizontal="left" vertical="center" wrapText="1"/>
    </xf>
    <xf numFmtId="0" fontId="37" fillId="5" borderId="9" xfId="0" applyFont="1" applyFill="1" applyBorder="1" applyAlignment="1">
      <alignment horizontal="center" vertical="center" wrapText="1"/>
    </xf>
    <xf numFmtId="0" fontId="32" fillId="12" borderId="9" xfId="0" applyFont="1" applyFill="1" applyBorder="1" applyAlignment="1">
      <alignment horizontal="center" vertical="center" wrapText="1"/>
    </xf>
    <xf numFmtId="181" fontId="32" fillId="0" borderId="9" xfId="0" applyNumberFormat="1" applyFont="1" applyFill="1" applyBorder="1" applyAlignment="1">
      <alignment horizontal="center" vertical="center"/>
    </xf>
    <xf numFmtId="181" fontId="32" fillId="12" borderId="9" xfId="0" applyNumberFormat="1" applyFont="1" applyFill="1" applyBorder="1" applyAlignment="1">
      <alignment horizontal="center" vertical="center"/>
    </xf>
    <xf numFmtId="181" fontId="27" fillId="12" borderId="9" xfId="0" applyNumberFormat="1" applyFont="1" applyFill="1" applyBorder="1" applyAlignment="1">
      <alignment horizontal="center" vertical="center"/>
    </xf>
    <xf numFmtId="0" fontId="25" fillId="8" borderId="10" xfId="0" applyNumberFormat="1" applyFont="1" applyFill="1" applyBorder="1" applyAlignment="1" applyProtection="1">
      <alignment horizontal="center" vertical="center" wrapText="1"/>
    </xf>
    <xf numFmtId="0" fontId="25" fillId="8" borderId="13" xfId="0" applyNumberFormat="1" applyFont="1" applyFill="1" applyBorder="1" applyAlignment="1" applyProtection="1">
      <alignment horizontal="center" vertical="center" wrapText="1"/>
    </xf>
    <xf numFmtId="181" fontId="26" fillId="0" borderId="9" xfId="0" applyNumberFormat="1" applyFont="1" applyFill="1" applyBorder="1" applyAlignment="1">
      <alignment horizontal="center" vertical="center"/>
    </xf>
    <xf numFmtId="181" fontId="26" fillId="12" borderId="9" xfId="0" applyNumberFormat="1" applyFont="1" applyFill="1" applyBorder="1" applyAlignment="1">
      <alignment horizontal="center" vertical="center"/>
    </xf>
    <xf numFmtId="0" fontId="32" fillId="0" borderId="9" xfId="0" applyFont="1" applyFill="1" applyBorder="1" applyAlignment="1">
      <alignment horizontal="center" vertical="center" wrapText="1"/>
    </xf>
    <xf numFmtId="0" fontId="27" fillId="12" borderId="9" xfId="0" applyFont="1" applyFill="1" applyBorder="1" applyAlignment="1">
      <alignment horizontal="center" vertical="center" wrapText="1"/>
    </xf>
    <xf numFmtId="0" fontId="25" fillId="8" borderId="10" xfId="0" applyNumberFormat="1" applyFont="1" applyFill="1" applyBorder="1" applyAlignment="1" applyProtection="1">
      <alignment horizontal="center" vertical="center"/>
    </xf>
    <xf numFmtId="0" fontId="25" fillId="8" borderId="13" xfId="0" applyNumberFormat="1" applyFont="1" applyFill="1" applyBorder="1" applyAlignment="1" applyProtection="1">
      <alignment horizontal="center" vertical="center"/>
    </xf>
    <xf numFmtId="0" fontId="38" fillId="8" borderId="9" xfId="0" applyFont="1" applyFill="1" applyBorder="1" applyAlignment="1" applyProtection="1">
      <alignment horizontal="center" vertical="center" wrapText="1"/>
    </xf>
    <xf numFmtId="0" fontId="39" fillId="8" borderId="9" xfId="0" applyFont="1" applyFill="1" applyBorder="1" applyAlignment="1" applyProtection="1">
      <alignment horizontal="center" vertical="center" wrapText="1"/>
    </xf>
    <xf numFmtId="0" fontId="40" fillId="8" borderId="9" xfId="0" applyNumberFormat="1" applyFont="1" applyFill="1" applyBorder="1" applyAlignment="1" applyProtection="1">
      <alignment horizontal="center" vertical="center" wrapText="1"/>
    </xf>
    <xf numFmtId="0" fontId="40" fillId="8" borderId="9" xfId="0" applyFont="1" applyFill="1" applyBorder="1" applyAlignment="1" applyProtection="1">
      <alignment horizontal="left" vertical="center" wrapText="1"/>
    </xf>
    <xf numFmtId="0" fontId="39" fillId="8" borderId="9" xfId="0" applyNumberFormat="1" applyFont="1" applyFill="1" applyBorder="1" applyAlignment="1" applyProtection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5" fillId="0" borderId="0" xfId="0" applyFont="1" applyAlignment="1">
      <alignment horizontal="center" vertical="center"/>
    </xf>
    <xf numFmtId="0" fontId="41" fillId="13" borderId="9" xfId="0" applyFont="1" applyFill="1" applyBorder="1" applyAlignment="1">
      <alignment horizontal="center" vertical="center" wrapText="1"/>
    </xf>
    <xf numFmtId="0" fontId="42" fillId="13" borderId="9" xfId="0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vertical="center"/>
    </xf>
    <xf numFmtId="0" fontId="9" fillId="14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vertical="center"/>
    </xf>
    <xf numFmtId="183" fontId="10" fillId="0" borderId="9" xfId="0" applyNumberFormat="1" applyFont="1" applyFill="1" applyBorder="1" applyAlignment="1">
      <alignment horizontal="center" vertical="center" wrapText="1"/>
    </xf>
    <xf numFmtId="0" fontId="43" fillId="0" borderId="9" xfId="0" applyFont="1" applyFill="1" applyBorder="1" applyAlignment="1">
      <alignment vertical="center"/>
    </xf>
    <xf numFmtId="183" fontId="10" fillId="0" borderId="10" xfId="0" applyNumberFormat="1" applyFont="1" applyFill="1" applyBorder="1" applyAlignment="1">
      <alignment horizontal="center" vertical="center" wrapText="1"/>
    </xf>
    <xf numFmtId="183" fontId="10" fillId="0" borderId="13" xfId="0" applyNumberFormat="1" applyFont="1" applyFill="1" applyBorder="1" applyAlignment="1">
      <alignment horizontal="center" vertical="center" wrapText="1"/>
    </xf>
    <xf numFmtId="0" fontId="41" fillId="13" borderId="10" xfId="0" applyFont="1" applyFill="1" applyBorder="1" applyAlignment="1">
      <alignment horizontal="center" vertical="center" wrapText="1"/>
    </xf>
    <xf numFmtId="0" fontId="41" fillId="13" borderId="18" xfId="0" applyFont="1" applyFill="1" applyBorder="1" applyAlignment="1">
      <alignment horizontal="center" vertical="center" wrapText="1"/>
    </xf>
    <xf numFmtId="0" fontId="41" fillId="13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44" fillId="15" borderId="9" xfId="0" applyFont="1" applyFill="1" applyBorder="1" applyAlignment="1">
      <alignment horizontal="center" vertical="center"/>
    </xf>
    <xf numFmtId="0" fontId="44" fillId="15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E2" sqref="E2:F2"/>
    </sheetView>
  </sheetViews>
  <sheetFormatPr defaultColWidth="9.14285714285714" defaultRowHeight="15" outlineLevelCol="5"/>
  <cols>
    <col min="1" max="1" width="7.14285714285714" customWidth="1"/>
    <col min="2" max="2" width="33" customWidth="1"/>
    <col min="3" max="3" width="11.7142857142857" customWidth="1"/>
    <col min="4" max="4" width="13" customWidth="1"/>
    <col min="5" max="5" width="13.4190476190476" style="25" customWidth="1"/>
    <col min="6" max="6" width="10.5714285714286" style="25" customWidth="1"/>
  </cols>
  <sheetData>
    <row r="1" ht="25" customHeight="1" spans="1:6">
      <c r="A1" s="130" t="s">
        <v>0</v>
      </c>
      <c r="B1" s="130"/>
      <c r="C1" s="130"/>
      <c r="D1" s="130"/>
      <c r="E1" s="130"/>
      <c r="F1" s="130"/>
    </row>
    <row r="2" ht="32" customHeight="1" spans="1:6">
      <c r="A2" s="142" t="s">
        <v>1</v>
      </c>
      <c r="B2" s="142" t="s">
        <v>2</v>
      </c>
      <c r="C2" s="142" t="s">
        <v>3</v>
      </c>
      <c r="D2" s="142" t="s">
        <v>4</v>
      </c>
      <c r="E2" s="110" t="s">
        <v>5</v>
      </c>
      <c r="F2" s="119" t="s">
        <v>6</v>
      </c>
    </row>
    <row r="3" ht="20" customHeight="1" spans="1:6">
      <c r="A3" s="32">
        <v>1</v>
      </c>
      <c r="B3" s="134" t="s">
        <v>7</v>
      </c>
      <c r="C3" s="135">
        <v>2</v>
      </c>
      <c r="D3" s="135">
        <v>2</v>
      </c>
      <c r="E3" s="99">
        <f>IF(C3=0,100,C3/D3*100)</f>
        <v>100</v>
      </c>
      <c r="F3" s="99">
        <f>E3*0.05</f>
        <v>5</v>
      </c>
    </row>
    <row r="4" ht="20" customHeight="1" spans="1:6">
      <c r="A4" s="32">
        <v>2</v>
      </c>
      <c r="B4" s="134" t="s">
        <v>8</v>
      </c>
      <c r="C4" s="135">
        <v>2</v>
      </c>
      <c r="D4" s="135">
        <v>2</v>
      </c>
      <c r="E4" s="99">
        <f t="shared" ref="E4:E30" si="0">IF(C4=0,100,C4/D4*100)</f>
        <v>100</v>
      </c>
      <c r="F4" s="99">
        <f t="shared" ref="F4:F31" si="1">E4*0.05</f>
        <v>5</v>
      </c>
    </row>
    <row r="5" ht="20" customHeight="1" spans="1:6">
      <c r="A5" s="32">
        <v>3</v>
      </c>
      <c r="B5" s="136" t="s">
        <v>9</v>
      </c>
      <c r="C5" s="135">
        <v>1</v>
      </c>
      <c r="D5" s="135">
        <v>1</v>
      </c>
      <c r="E5" s="99">
        <f t="shared" si="0"/>
        <v>100</v>
      </c>
      <c r="F5" s="99">
        <f t="shared" si="1"/>
        <v>5</v>
      </c>
    </row>
    <row r="6" ht="20" customHeight="1" spans="1:6">
      <c r="A6" s="32">
        <v>4</v>
      </c>
      <c r="B6" s="134" t="s">
        <v>10</v>
      </c>
      <c r="C6" s="135">
        <v>0</v>
      </c>
      <c r="D6" s="135">
        <v>0</v>
      </c>
      <c r="E6" s="99">
        <f t="shared" si="0"/>
        <v>100</v>
      </c>
      <c r="F6" s="99">
        <f t="shared" si="1"/>
        <v>5</v>
      </c>
    </row>
    <row r="7" ht="20" customHeight="1" spans="1:6">
      <c r="A7" s="32">
        <v>5</v>
      </c>
      <c r="B7" s="136" t="s">
        <v>11</v>
      </c>
      <c r="C7" s="135">
        <v>2</v>
      </c>
      <c r="D7" s="135">
        <v>2</v>
      </c>
      <c r="E7" s="99">
        <f t="shared" si="0"/>
        <v>100</v>
      </c>
      <c r="F7" s="99">
        <f t="shared" si="1"/>
        <v>5</v>
      </c>
    </row>
    <row r="8" ht="20" customHeight="1" spans="1:6">
      <c r="A8" s="32">
        <v>6</v>
      </c>
      <c r="B8" s="134" t="s">
        <v>12</v>
      </c>
      <c r="C8" s="135">
        <v>0</v>
      </c>
      <c r="D8" s="135">
        <v>0</v>
      </c>
      <c r="E8" s="99">
        <f t="shared" si="0"/>
        <v>100</v>
      </c>
      <c r="F8" s="99">
        <f t="shared" si="1"/>
        <v>5</v>
      </c>
    </row>
    <row r="9" ht="20" customHeight="1" spans="1:6">
      <c r="A9" s="32">
        <v>7</v>
      </c>
      <c r="B9" s="134" t="s">
        <v>13</v>
      </c>
      <c r="C9" s="135">
        <v>0</v>
      </c>
      <c r="D9" s="135">
        <v>0</v>
      </c>
      <c r="E9" s="99">
        <f t="shared" si="0"/>
        <v>100</v>
      </c>
      <c r="F9" s="99">
        <f t="shared" si="1"/>
        <v>5</v>
      </c>
    </row>
    <row r="10" ht="20" customHeight="1" spans="1:6">
      <c r="A10" s="32">
        <v>8</v>
      </c>
      <c r="B10" s="134" t="s">
        <v>14</v>
      </c>
      <c r="C10" s="135">
        <v>0</v>
      </c>
      <c r="D10" s="135">
        <v>0</v>
      </c>
      <c r="E10" s="99">
        <f t="shared" si="0"/>
        <v>100</v>
      </c>
      <c r="F10" s="99">
        <f t="shared" si="1"/>
        <v>5</v>
      </c>
    </row>
    <row r="11" ht="20" customHeight="1" spans="1:6">
      <c r="A11" s="32">
        <v>9</v>
      </c>
      <c r="B11" s="136" t="s">
        <v>15</v>
      </c>
      <c r="C11" s="135">
        <v>1</v>
      </c>
      <c r="D11" s="135">
        <v>1</v>
      </c>
      <c r="E11" s="99">
        <f t="shared" si="0"/>
        <v>100</v>
      </c>
      <c r="F11" s="99">
        <f t="shared" si="1"/>
        <v>5</v>
      </c>
    </row>
    <row r="12" ht="20" customHeight="1" spans="1:6">
      <c r="A12" s="32">
        <v>10</v>
      </c>
      <c r="B12" s="136" t="s">
        <v>16</v>
      </c>
      <c r="C12" s="135">
        <v>0</v>
      </c>
      <c r="D12" s="135">
        <v>0</v>
      </c>
      <c r="E12" s="99">
        <f t="shared" si="0"/>
        <v>100</v>
      </c>
      <c r="F12" s="99">
        <f t="shared" si="1"/>
        <v>5</v>
      </c>
    </row>
    <row r="13" ht="20" customHeight="1" spans="1:6">
      <c r="A13" s="32">
        <v>11</v>
      </c>
      <c r="B13" s="134" t="s">
        <v>17</v>
      </c>
      <c r="C13" s="135">
        <v>0</v>
      </c>
      <c r="D13" s="135">
        <v>0</v>
      </c>
      <c r="E13" s="99">
        <f t="shared" si="0"/>
        <v>100</v>
      </c>
      <c r="F13" s="99">
        <f t="shared" si="1"/>
        <v>5</v>
      </c>
    </row>
    <row r="14" ht="20" customHeight="1" spans="1:6">
      <c r="A14" s="32">
        <v>12</v>
      </c>
      <c r="B14" s="134" t="s">
        <v>18</v>
      </c>
      <c r="C14" s="135">
        <v>0</v>
      </c>
      <c r="D14" s="135">
        <v>0</v>
      </c>
      <c r="E14" s="99">
        <f t="shared" si="0"/>
        <v>100</v>
      </c>
      <c r="F14" s="99">
        <f t="shared" si="1"/>
        <v>5</v>
      </c>
    </row>
    <row r="15" ht="20" customHeight="1" spans="1:6">
      <c r="A15" s="32">
        <v>13</v>
      </c>
      <c r="B15" s="134" t="s">
        <v>19</v>
      </c>
      <c r="C15" s="135">
        <v>0</v>
      </c>
      <c r="D15" s="135">
        <v>0</v>
      </c>
      <c r="E15" s="99">
        <f t="shared" si="0"/>
        <v>100</v>
      </c>
      <c r="F15" s="99">
        <f t="shared" si="1"/>
        <v>5</v>
      </c>
    </row>
    <row r="16" ht="20" customHeight="1" spans="1:6">
      <c r="A16" s="32">
        <v>14</v>
      </c>
      <c r="B16" s="136" t="s">
        <v>20</v>
      </c>
      <c r="C16" s="135">
        <v>0</v>
      </c>
      <c r="D16" s="135">
        <v>0</v>
      </c>
      <c r="E16" s="99">
        <f t="shared" si="0"/>
        <v>100</v>
      </c>
      <c r="F16" s="99">
        <f t="shared" si="1"/>
        <v>5</v>
      </c>
    </row>
    <row r="17" ht="20" customHeight="1" spans="1:6">
      <c r="A17" s="32">
        <v>15</v>
      </c>
      <c r="B17" s="134" t="s">
        <v>21</v>
      </c>
      <c r="C17" s="135">
        <v>0</v>
      </c>
      <c r="D17" s="135">
        <v>0</v>
      </c>
      <c r="E17" s="99">
        <f t="shared" si="0"/>
        <v>100</v>
      </c>
      <c r="F17" s="99">
        <f t="shared" si="1"/>
        <v>5</v>
      </c>
    </row>
    <row r="18" ht="20" customHeight="1" spans="1:6">
      <c r="A18" s="32">
        <v>16</v>
      </c>
      <c r="B18" s="134" t="s">
        <v>22</v>
      </c>
      <c r="C18" s="135">
        <v>2</v>
      </c>
      <c r="D18" s="135">
        <v>2</v>
      </c>
      <c r="E18" s="99">
        <f t="shared" si="0"/>
        <v>100</v>
      </c>
      <c r="F18" s="99">
        <f t="shared" si="1"/>
        <v>5</v>
      </c>
    </row>
    <row r="19" ht="20" customHeight="1" spans="1:6">
      <c r="A19" s="32">
        <v>17</v>
      </c>
      <c r="B19" s="134" t="s">
        <v>23</v>
      </c>
      <c r="C19" s="135">
        <v>1</v>
      </c>
      <c r="D19" s="135">
        <v>1</v>
      </c>
      <c r="E19" s="99">
        <f t="shared" si="0"/>
        <v>100</v>
      </c>
      <c r="F19" s="99">
        <f t="shared" si="1"/>
        <v>5</v>
      </c>
    </row>
    <row r="20" ht="20" customHeight="1" spans="1:6">
      <c r="A20" s="32">
        <v>18</v>
      </c>
      <c r="B20" s="134" t="s">
        <v>24</v>
      </c>
      <c r="C20" s="135">
        <v>0</v>
      </c>
      <c r="D20" s="135">
        <v>0</v>
      </c>
      <c r="E20" s="99">
        <f t="shared" si="0"/>
        <v>100</v>
      </c>
      <c r="F20" s="99">
        <f t="shared" si="1"/>
        <v>5</v>
      </c>
    </row>
    <row r="21" ht="20" customHeight="1" spans="1:6">
      <c r="A21" s="32">
        <v>19</v>
      </c>
      <c r="B21" s="134" t="s">
        <v>25</v>
      </c>
      <c r="C21" s="135">
        <v>0</v>
      </c>
      <c r="D21" s="135">
        <v>0</v>
      </c>
      <c r="E21" s="99">
        <f t="shared" si="0"/>
        <v>100</v>
      </c>
      <c r="F21" s="99">
        <f t="shared" si="1"/>
        <v>5</v>
      </c>
    </row>
    <row r="22" ht="20" customHeight="1" spans="1:6">
      <c r="A22" s="32">
        <v>20</v>
      </c>
      <c r="B22" s="134" t="s">
        <v>26</v>
      </c>
      <c r="C22" s="135">
        <v>0</v>
      </c>
      <c r="D22" s="135">
        <v>0</v>
      </c>
      <c r="E22" s="99">
        <f t="shared" si="0"/>
        <v>100</v>
      </c>
      <c r="F22" s="99">
        <f t="shared" si="1"/>
        <v>5</v>
      </c>
    </row>
    <row r="23" ht="20" customHeight="1" spans="1:6">
      <c r="A23" s="32">
        <v>21</v>
      </c>
      <c r="B23" s="134" t="s">
        <v>27</v>
      </c>
      <c r="C23" s="135">
        <v>2</v>
      </c>
      <c r="D23" s="135">
        <v>2</v>
      </c>
      <c r="E23" s="99">
        <f t="shared" si="0"/>
        <v>100</v>
      </c>
      <c r="F23" s="99">
        <f t="shared" si="1"/>
        <v>5</v>
      </c>
    </row>
    <row r="24" ht="20" customHeight="1" spans="1:6">
      <c r="A24" s="32">
        <v>22</v>
      </c>
      <c r="B24" s="134" t="s">
        <v>28</v>
      </c>
      <c r="C24" s="135">
        <v>1</v>
      </c>
      <c r="D24" s="135">
        <v>1</v>
      </c>
      <c r="E24" s="99">
        <f t="shared" si="0"/>
        <v>100</v>
      </c>
      <c r="F24" s="99">
        <f t="shared" si="1"/>
        <v>5</v>
      </c>
    </row>
    <row r="25" ht="20" customHeight="1" spans="1:6">
      <c r="A25" s="32">
        <v>23</v>
      </c>
      <c r="B25" s="134" t="s">
        <v>29</v>
      </c>
      <c r="C25" s="135">
        <v>0</v>
      </c>
      <c r="D25" s="135">
        <v>0</v>
      </c>
      <c r="E25" s="99">
        <f t="shared" si="0"/>
        <v>100</v>
      </c>
      <c r="F25" s="99">
        <f t="shared" si="1"/>
        <v>5</v>
      </c>
    </row>
    <row r="26" ht="20" customHeight="1" spans="1:6">
      <c r="A26" s="32">
        <v>24</v>
      </c>
      <c r="B26" s="134" t="s">
        <v>30</v>
      </c>
      <c r="C26" s="135">
        <v>0</v>
      </c>
      <c r="D26" s="135">
        <v>0</v>
      </c>
      <c r="E26" s="99">
        <f t="shared" si="0"/>
        <v>100</v>
      </c>
      <c r="F26" s="99">
        <f t="shared" si="1"/>
        <v>5</v>
      </c>
    </row>
    <row r="27" ht="20" customHeight="1" spans="1:6">
      <c r="A27" s="32">
        <v>25</v>
      </c>
      <c r="B27" s="134" t="s">
        <v>31</v>
      </c>
      <c r="C27" s="135">
        <v>0</v>
      </c>
      <c r="D27" s="135">
        <v>0</v>
      </c>
      <c r="E27" s="99">
        <f t="shared" si="0"/>
        <v>100</v>
      </c>
      <c r="F27" s="99">
        <f t="shared" si="1"/>
        <v>5</v>
      </c>
    </row>
    <row r="28" ht="20" customHeight="1" spans="1:6">
      <c r="A28" s="32">
        <v>26</v>
      </c>
      <c r="B28" s="134" t="s">
        <v>32</v>
      </c>
      <c r="C28" s="135">
        <v>0</v>
      </c>
      <c r="D28" s="135">
        <v>0</v>
      </c>
      <c r="E28" s="99">
        <f t="shared" si="0"/>
        <v>100</v>
      </c>
      <c r="F28" s="99">
        <f t="shared" si="1"/>
        <v>5</v>
      </c>
    </row>
    <row r="29" ht="20" customHeight="1" spans="1:6">
      <c r="A29" s="32">
        <v>27</v>
      </c>
      <c r="B29" s="134" t="s">
        <v>33</v>
      </c>
      <c r="C29" s="135">
        <v>0</v>
      </c>
      <c r="D29" s="135">
        <v>0</v>
      </c>
      <c r="E29" s="99">
        <f t="shared" si="0"/>
        <v>100</v>
      </c>
      <c r="F29" s="99">
        <f t="shared" si="1"/>
        <v>5</v>
      </c>
    </row>
    <row r="30" ht="20" customHeight="1" spans="1:6">
      <c r="A30" s="32">
        <v>28</v>
      </c>
      <c r="B30" s="134" t="s">
        <v>34</v>
      </c>
      <c r="C30" s="135">
        <v>1</v>
      </c>
      <c r="D30" s="135">
        <v>1</v>
      </c>
      <c r="E30" s="99">
        <f t="shared" si="0"/>
        <v>100</v>
      </c>
      <c r="F30" s="99">
        <f t="shared" si="1"/>
        <v>5</v>
      </c>
    </row>
    <row r="31" ht="20" customHeight="1" spans="1:6">
      <c r="A31" s="143" t="s">
        <v>35</v>
      </c>
      <c r="B31" s="143"/>
      <c r="C31" s="144">
        <f>SUM(C3:C30)</f>
        <v>15</v>
      </c>
      <c r="D31" s="144">
        <f>SUM(D3:D30)</f>
        <v>15</v>
      </c>
      <c r="E31" s="145"/>
      <c r="F31" s="127"/>
    </row>
  </sheetData>
  <mergeCells count="2">
    <mergeCell ref="A1:F1"/>
    <mergeCell ref="A31:B31"/>
  </mergeCells>
  <pageMargins left="0.75" right="0.511805555555556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E2" sqref="E2:F2"/>
    </sheetView>
  </sheetViews>
  <sheetFormatPr defaultColWidth="9.14285714285714" defaultRowHeight="15" outlineLevelCol="5"/>
  <cols>
    <col min="1" max="1" width="8.14285714285714" customWidth="1"/>
    <col min="2" max="2" width="33" customWidth="1"/>
    <col min="3" max="3" width="11.7142857142857" customWidth="1"/>
    <col min="4" max="4" width="13" customWidth="1"/>
    <col min="5" max="5" width="12.2857142857143" style="25" customWidth="1"/>
    <col min="6" max="6" width="10.4285714285714" style="25" customWidth="1"/>
  </cols>
  <sheetData>
    <row r="1" ht="29" customHeight="1" spans="1:6">
      <c r="A1" s="139" t="s">
        <v>36</v>
      </c>
      <c r="B1" s="140"/>
      <c r="C1" s="140"/>
      <c r="D1" s="140"/>
      <c r="E1" s="140"/>
      <c r="F1" s="141"/>
    </row>
    <row r="2" ht="39" customHeight="1" spans="1:6">
      <c r="A2" s="142" t="s">
        <v>1</v>
      </c>
      <c r="B2" s="142" t="s">
        <v>2</v>
      </c>
      <c r="C2" s="142" t="s">
        <v>37</v>
      </c>
      <c r="D2" s="142" t="s">
        <v>4</v>
      </c>
      <c r="E2" s="110" t="s">
        <v>5</v>
      </c>
      <c r="F2" s="119" t="s">
        <v>6</v>
      </c>
    </row>
    <row r="3" ht="15.75" spans="1:6">
      <c r="A3" s="32">
        <v>1</v>
      </c>
      <c r="B3" s="134" t="s">
        <v>7</v>
      </c>
      <c r="C3" s="135">
        <v>2</v>
      </c>
      <c r="D3" s="135">
        <v>2</v>
      </c>
      <c r="E3" s="99">
        <f t="shared" ref="E3:E31" si="0">IF(C3=0,100,C3/D3*100)</f>
        <v>100</v>
      </c>
      <c r="F3" s="99">
        <f>E3*0.05</f>
        <v>5</v>
      </c>
    </row>
    <row r="4" ht="15.75" spans="1:6">
      <c r="A4" s="32">
        <v>2</v>
      </c>
      <c r="B4" s="134" t="s">
        <v>8</v>
      </c>
      <c r="C4" s="135">
        <v>0</v>
      </c>
      <c r="D4" s="135">
        <v>0</v>
      </c>
      <c r="E4" s="99">
        <f t="shared" si="0"/>
        <v>100</v>
      </c>
      <c r="F4" s="99">
        <f t="shared" ref="F4:F30" si="1">E4*0.05</f>
        <v>5</v>
      </c>
    </row>
    <row r="5" ht="15.75" spans="1:6">
      <c r="A5" s="32">
        <v>3</v>
      </c>
      <c r="B5" s="136" t="s">
        <v>9</v>
      </c>
      <c r="C5" s="135">
        <v>0</v>
      </c>
      <c r="D5" s="135">
        <v>0</v>
      </c>
      <c r="E5" s="99">
        <f t="shared" si="0"/>
        <v>100</v>
      </c>
      <c r="F5" s="99">
        <f t="shared" si="1"/>
        <v>5</v>
      </c>
    </row>
    <row r="6" ht="15.75" spans="1:6">
      <c r="A6" s="32">
        <v>4</v>
      </c>
      <c r="B6" s="134" t="s">
        <v>10</v>
      </c>
      <c r="C6" s="135">
        <v>1</v>
      </c>
      <c r="D6" s="135">
        <v>1</v>
      </c>
      <c r="E6" s="99">
        <f t="shared" si="0"/>
        <v>100</v>
      </c>
      <c r="F6" s="99">
        <f t="shared" si="1"/>
        <v>5</v>
      </c>
    </row>
    <row r="7" ht="15.75" spans="1:6">
      <c r="A7" s="32">
        <v>5</v>
      </c>
      <c r="B7" s="136" t="s">
        <v>11</v>
      </c>
      <c r="C7" s="135">
        <v>0</v>
      </c>
      <c r="D7" s="135">
        <v>0</v>
      </c>
      <c r="E7" s="99">
        <f t="shared" si="0"/>
        <v>100</v>
      </c>
      <c r="F7" s="99">
        <f t="shared" si="1"/>
        <v>5</v>
      </c>
    </row>
    <row r="8" ht="15.75" spans="1:6">
      <c r="A8" s="32">
        <v>6</v>
      </c>
      <c r="B8" s="134" t="s">
        <v>12</v>
      </c>
      <c r="C8" s="135">
        <v>0</v>
      </c>
      <c r="D8" s="135">
        <v>0</v>
      </c>
      <c r="E8" s="99">
        <f t="shared" si="0"/>
        <v>100</v>
      </c>
      <c r="F8" s="99">
        <f t="shared" si="1"/>
        <v>5</v>
      </c>
    </row>
    <row r="9" ht="15.75" spans="1:6">
      <c r="A9" s="32">
        <v>7</v>
      </c>
      <c r="B9" s="134" t="s">
        <v>13</v>
      </c>
      <c r="C9" s="135">
        <v>0</v>
      </c>
      <c r="D9" s="135">
        <v>0</v>
      </c>
      <c r="E9" s="99">
        <f t="shared" si="0"/>
        <v>100</v>
      </c>
      <c r="F9" s="99">
        <f t="shared" si="1"/>
        <v>5</v>
      </c>
    </row>
    <row r="10" ht="15.75" spans="1:6">
      <c r="A10" s="32">
        <v>8</v>
      </c>
      <c r="B10" s="134" t="s">
        <v>14</v>
      </c>
      <c r="C10" s="135">
        <v>0</v>
      </c>
      <c r="D10" s="135">
        <v>0</v>
      </c>
      <c r="E10" s="99">
        <f t="shared" si="0"/>
        <v>100</v>
      </c>
      <c r="F10" s="99">
        <f t="shared" si="1"/>
        <v>5</v>
      </c>
    </row>
    <row r="11" ht="15.75" spans="1:6">
      <c r="A11" s="32">
        <v>9</v>
      </c>
      <c r="B11" s="136" t="s">
        <v>15</v>
      </c>
      <c r="C11" s="135">
        <v>0</v>
      </c>
      <c r="D11" s="135">
        <v>0</v>
      </c>
      <c r="E11" s="99">
        <f t="shared" si="0"/>
        <v>100</v>
      </c>
      <c r="F11" s="99">
        <f t="shared" si="1"/>
        <v>5</v>
      </c>
    </row>
    <row r="12" ht="15.75" spans="1:6">
      <c r="A12" s="32">
        <v>10</v>
      </c>
      <c r="B12" s="136" t="s">
        <v>16</v>
      </c>
      <c r="C12" s="135">
        <v>1</v>
      </c>
      <c r="D12" s="135">
        <v>1</v>
      </c>
      <c r="E12" s="99">
        <f t="shared" si="0"/>
        <v>100</v>
      </c>
      <c r="F12" s="99">
        <f t="shared" si="1"/>
        <v>5</v>
      </c>
    </row>
    <row r="13" ht="15.75" spans="1:6">
      <c r="A13" s="32">
        <v>11</v>
      </c>
      <c r="B13" s="134" t="s">
        <v>17</v>
      </c>
      <c r="C13" s="135">
        <v>1</v>
      </c>
      <c r="D13" s="135">
        <v>1</v>
      </c>
      <c r="E13" s="99">
        <f t="shared" si="0"/>
        <v>100</v>
      </c>
      <c r="F13" s="99">
        <f t="shared" si="1"/>
        <v>5</v>
      </c>
    </row>
    <row r="14" ht="15.75" spans="1:6">
      <c r="A14" s="32">
        <v>12</v>
      </c>
      <c r="B14" s="134" t="s">
        <v>18</v>
      </c>
      <c r="C14" s="135">
        <v>0</v>
      </c>
      <c r="D14" s="135">
        <v>0</v>
      </c>
      <c r="E14" s="99">
        <f t="shared" si="0"/>
        <v>100</v>
      </c>
      <c r="F14" s="99">
        <f t="shared" si="1"/>
        <v>5</v>
      </c>
    </row>
    <row r="15" ht="15.75" spans="1:6">
      <c r="A15" s="32">
        <v>13</v>
      </c>
      <c r="B15" s="134" t="s">
        <v>19</v>
      </c>
      <c r="C15" s="135">
        <v>0</v>
      </c>
      <c r="D15" s="135">
        <v>0</v>
      </c>
      <c r="E15" s="99">
        <f t="shared" si="0"/>
        <v>100</v>
      </c>
      <c r="F15" s="99">
        <f t="shared" si="1"/>
        <v>5</v>
      </c>
    </row>
    <row r="16" ht="15.75" spans="1:6">
      <c r="A16" s="32">
        <v>14</v>
      </c>
      <c r="B16" s="136" t="s">
        <v>20</v>
      </c>
      <c r="C16" s="135">
        <v>0</v>
      </c>
      <c r="D16" s="135">
        <v>0</v>
      </c>
      <c r="E16" s="99">
        <f t="shared" si="0"/>
        <v>100</v>
      </c>
      <c r="F16" s="99">
        <f t="shared" si="1"/>
        <v>5</v>
      </c>
    </row>
    <row r="17" ht="15.75" spans="1:6">
      <c r="A17" s="32">
        <v>15</v>
      </c>
      <c r="B17" s="134" t="s">
        <v>21</v>
      </c>
      <c r="C17" s="135">
        <v>0</v>
      </c>
      <c r="D17" s="135">
        <v>0</v>
      </c>
      <c r="E17" s="99">
        <f t="shared" si="0"/>
        <v>100</v>
      </c>
      <c r="F17" s="99">
        <f t="shared" si="1"/>
        <v>5</v>
      </c>
    </row>
    <row r="18" ht="15.75" spans="1:6">
      <c r="A18" s="32">
        <v>16</v>
      </c>
      <c r="B18" s="134" t="s">
        <v>22</v>
      </c>
      <c r="C18" s="135">
        <v>2</v>
      </c>
      <c r="D18" s="135">
        <v>2</v>
      </c>
      <c r="E18" s="99">
        <f t="shared" si="0"/>
        <v>100</v>
      </c>
      <c r="F18" s="99">
        <f t="shared" si="1"/>
        <v>5</v>
      </c>
    </row>
    <row r="19" ht="15.75" spans="1:6">
      <c r="A19" s="32">
        <v>17</v>
      </c>
      <c r="B19" s="134" t="s">
        <v>23</v>
      </c>
      <c r="C19" s="135">
        <v>0</v>
      </c>
      <c r="D19" s="135">
        <v>0</v>
      </c>
      <c r="E19" s="99">
        <f t="shared" si="0"/>
        <v>100</v>
      </c>
      <c r="F19" s="99">
        <f t="shared" si="1"/>
        <v>5</v>
      </c>
    </row>
    <row r="20" ht="15.75" spans="1:6">
      <c r="A20" s="32">
        <v>18</v>
      </c>
      <c r="B20" s="134" t="s">
        <v>24</v>
      </c>
      <c r="C20" s="135">
        <v>1</v>
      </c>
      <c r="D20" s="135">
        <v>1</v>
      </c>
      <c r="E20" s="99">
        <f t="shared" si="0"/>
        <v>100</v>
      </c>
      <c r="F20" s="99">
        <f t="shared" si="1"/>
        <v>5</v>
      </c>
    </row>
    <row r="21" ht="15.75" spans="1:6">
      <c r="A21" s="32">
        <v>19</v>
      </c>
      <c r="B21" s="134" t="s">
        <v>25</v>
      </c>
      <c r="C21" s="135">
        <v>0</v>
      </c>
      <c r="D21" s="135">
        <v>0</v>
      </c>
      <c r="E21" s="99">
        <f t="shared" si="0"/>
        <v>100</v>
      </c>
      <c r="F21" s="99">
        <f t="shared" si="1"/>
        <v>5</v>
      </c>
    </row>
    <row r="22" ht="15.75" spans="1:6">
      <c r="A22" s="32">
        <v>20</v>
      </c>
      <c r="B22" s="134" t="s">
        <v>26</v>
      </c>
      <c r="C22" s="135">
        <v>1</v>
      </c>
      <c r="D22" s="135">
        <v>1</v>
      </c>
      <c r="E22" s="99">
        <f t="shared" si="0"/>
        <v>100</v>
      </c>
      <c r="F22" s="99">
        <f t="shared" si="1"/>
        <v>5</v>
      </c>
    </row>
    <row r="23" ht="15.75" spans="1:6">
      <c r="A23" s="32">
        <v>21</v>
      </c>
      <c r="B23" s="134" t="s">
        <v>27</v>
      </c>
      <c r="C23" s="135">
        <v>0</v>
      </c>
      <c r="D23" s="135">
        <v>0</v>
      </c>
      <c r="E23" s="99">
        <f t="shared" si="0"/>
        <v>100</v>
      </c>
      <c r="F23" s="99">
        <f t="shared" si="1"/>
        <v>5</v>
      </c>
    </row>
    <row r="24" ht="15.75" spans="1:6">
      <c r="A24" s="32">
        <v>22</v>
      </c>
      <c r="B24" s="134" t="s">
        <v>28</v>
      </c>
      <c r="C24" s="135">
        <v>0</v>
      </c>
      <c r="D24" s="135">
        <v>0</v>
      </c>
      <c r="E24" s="99">
        <f t="shared" si="0"/>
        <v>100</v>
      </c>
      <c r="F24" s="99">
        <f t="shared" si="1"/>
        <v>5</v>
      </c>
    </row>
    <row r="25" ht="15.75" spans="1:6">
      <c r="A25" s="32">
        <v>23</v>
      </c>
      <c r="B25" s="134" t="s">
        <v>29</v>
      </c>
      <c r="C25" s="135">
        <v>0</v>
      </c>
      <c r="D25" s="135">
        <v>0</v>
      </c>
      <c r="E25" s="99">
        <f t="shared" si="0"/>
        <v>100</v>
      </c>
      <c r="F25" s="99">
        <f t="shared" si="1"/>
        <v>5</v>
      </c>
    </row>
    <row r="26" ht="15.75" spans="1:6">
      <c r="A26" s="32">
        <v>24</v>
      </c>
      <c r="B26" s="134" t="s">
        <v>30</v>
      </c>
      <c r="C26" s="135">
        <v>0</v>
      </c>
      <c r="D26" s="135">
        <v>0</v>
      </c>
      <c r="E26" s="99">
        <f t="shared" si="0"/>
        <v>100</v>
      </c>
      <c r="F26" s="99">
        <f t="shared" si="1"/>
        <v>5</v>
      </c>
    </row>
    <row r="27" ht="15.75" spans="1:6">
      <c r="A27" s="32">
        <v>25</v>
      </c>
      <c r="B27" s="134" t="s">
        <v>31</v>
      </c>
      <c r="C27" s="135">
        <v>0</v>
      </c>
      <c r="D27" s="135">
        <v>0</v>
      </c>
      <c r="E27" s="99">
        <f t="shared" si="0"/>
        <v>100</v>
      </c>
      <c r="F27" s="99">
        <f t="shared" si="1"/>
        <v>5</v>
      </c>
    </row>
    <row r="28" ht="15.75" spans="1:6">
      <c r="A28" s="32">
        <v>26</v>
      </c>
      <c r="B28" s="134" t="s">
        <v>32</v>
      </c>
      <c r="C28" s="135">
        <v>0</v>
      </c>
      <c r="D28" s="135">
        <v>0</v>
      </c>
      <c r="E28" s="99">
        <f t="shared" si="0"/>
        <v>100</v>
      </c>
      <c r="F28" s="99">
        <f t="shared" si="1"/>
        <v>5</v>
      </c>
    </row>
    <row r="29" ht="15.75" spans="1:6">
      <c r="A29" s="32">
        <v>27</v>
      </c>
      <c r="B29" s="134" t="s">
        <v>33</v>
      </c>
      <c r="C29" s="135">
        <v>0</v>
      </c>
      <c r="D29" s="135">
        <v>0</v>
      </c>
      <c r="E29" s="99">
        <f t="shared" si="0"/>
        <v>100</v>
      </c>
      <c r="F29" s="99">
        <f t="shared" si="1"/>
        <v>5</v>
      </c>
    </row>
    <row r="30" ht="15.75" spans="1:6">
      <c r="A30" s="32">
        <v>28</v>
      </c>
      <c r="B30" s="134" t="s">
        <v>34</v>
      </c>
      <c r="C30" s="135">
        <v>0</v>
      </c>
      <c r="D30" s="135">
        <v>0</v>
      </c>
      <c r="E30" s="99">
        <f t="shared" si="0"/>
        <v>100</v>
      </c>
      <c r="F30" s="99">
        <f t="shared" si="1"/>
        <v>5</v>
      </c>
    </row>
    <row r="31" ht="23.25" spans="1:6">
      <c r="A31" s="143" t="s">
        <v>35</v>
      </c>
      <c r="B31" s="143"/>
      <c r="C31" s="144">
        <f>SUM(C3:C30)</f>
        <v>9</v>
      </c>
      <c r="D31" s="144">
        <f>SUM(D3:D30)</f>
        <v>9</v>
      </c>
      <c r="E31" s="127"/>
      <c r="F31" s="127"/>
    </row>
  </sheetData>
  <mergeCells count="2">
    <mergeCell ref="A1:F1"/>
    <mergeCell ref="A31:B31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D2" sqref="D2:E2"/>
    </sheetView>
  </sheetViews>
  <sheetFormatPr defaultColWidth="9.14285714285714" defaultRowHeight="15.75" outlineLevelCol="4"/>
  <cols>
    <col min="1" max="1" width="8.14285714285714" customWidth="1"/>
    <col min="2" max="2" width="33" customWidth="1"/>
    <col min="3" max="3" width="15.4285714285714" customWidth="1"/>
    <col min="4" max="4" width="11.5714285714286" style="129" customWidth="1"/>
    <col min="5" max="5" width="12" style="129" customWidth="1"/>
  </cols>
  <sheetData>
    <row r="1" ht="28" customHeight="1" spans="1:5">
      <c r="A1" s="130" t="s">
        <v>38</v>
      </c>
      <c r="B1" s="130"/>
      <c r="C1" s="130"/>
      <c r="D1" s="131"/>
      <c r="E1" s="131"/>
    </row>
    <row r="2" ht="24" customHeight="1" spans="1:5">
      <c r="A2" s="132" t="s">
        <v>1</v>
      </c>
      <c r="B2" s="132" t="s">
        <v>2</v>
      </c>
      <c r="C2" s="133" t="s">
        <v>39</v>
      </c>
      <c r="D2" s="110" t="s">
        <v>5</v>
      </c>
      <c r="E2" s="119" t="s">
        <v>6</v>
      </c>
    </row>
    <row r="3" ht="20" customHeight="1" spans="1:5">
      <c r="A3" s="32">
        <v>1</v>
      </c>
      <c r="B3" s="134" t="s">
        <v>7</v>
      </c>
      <c r="C3" s="135" t="s">
        <v>39</v>
      </c>
      <c r="D3" s="99">
        <f>IF(C3="Submitted",100,0)</f>
        <v>100</v>
      </c>
      <c r="E3" s="99">
        <f>5/100*D3</f>
        <v>5</v>
      </c>
    </row>
    <row r="4" ht="20" customHeight="1" spans="1:5">
      <c r="A4" s="32">
        <v>2</v>
      </c>
      <c r="B4" s="134" t="s">
        <v>8</v>
      </c>
      <c r="C4" s="135" t="s">
        <v>39</v>
      </c>
      <c r="D4" s="99">
        <f t="shared" ref="D4:D31" si="0">IF(C4="Submitted",100,0)</f>
        <v>100</v>
      </c>
      <c r="E4" s="99">
        <f t="shared" ref="E4:E31" si="1">5/100*D4</f>
        <v>5</v>
      </c>
    </row>
    <row r="5" ht="20" customHeight="1" spans="1:5">
      <c r="A5" s="32">
        <v>3</v>
      </c>
      <c r="B5" s="136" t="s">
        <v>9</v>
      </c>
      <c r="C5" s="135" t="s">
        <v>39</v>
      </c>
      <c r="D5" s="99">
        <f t="shared" si="0"/>
        <v>100</v>
      </c>
      <c r="E5" s="99">
        <f t="shared" si="1"/>
        <v>5</v>
      </c>
    </row>
    <row r="6" ht="20" customHeight="1" spans="1:5">
      <c r="A6" s="32">
        <v>4</v>
      </c>
      <c r="B6" s="134" t="s">
        <v>10</v>
      </c>
      <c r="C6" s="135" t="s">
        <v>39</v>
      </c>
      <c r="D6" s="99">
        <f t="shared" si="0"/>
        <v>100</v>
      </c>
      <c r="E6" s="99">
        <f t="shared" si="1"/>
        <v>5</v>
      </c>
    </row>
    <row r="7" ht="20" customHeight="1" spans="1:5">
      <c r="A7" s="32">
        <v>5</v>
      </c>
      <c r="B7" s="136" t="s">
        <v>11</v>
      </c>
      <c r="C7" s="135" t="s">
        <v>39</v>
      </c>
      <c r="D7" s="99">
        <f t="shared" si="0"/>
        <v>100</v>
      </c>
      <c r="E7" s="99">
        <f t="shared" si="1"/>
        <v>5</v>
      </c>
    </row>
    <row r="8" ht="20" customHeight="1" spans="1:5">
      <c r="A8" s="32">
        <v>6</v>
      </c>
      <c r="B8" s="134" t="s">
        <v>12</v>
      </c>
      <c r="C8" s="135" t="s">
        <v>39</v>
      </c>
      <c r="D8" s="99">
        <f t="shared" si="0"/>
        <v>100</v>
      </c>
      <c r="E8" s="99">
        <f t="shared" si="1"/>
        <v>5</v>
      </c>
    </row>
    <row r="9" ht="20" customHeight="1" spans="1:5">
      <c r="A9" s="32">
        <v>7</v>
      </c>
      <c r="B9" s="134" t="s">
        <v>13</v>
      </c>
      <c r="C9" s="135" t="s">
        <v>39</v>
      </c>
      <c r="D9" s="99">
        <f t="shared" si="0"/>
        <v>100</v>
      </c>
      <c r="E9" s="99">
        <f t="shared" si="1"/>
        <v>5</v>
      </c>
    </row>
    <row r="10" ht="20" customHeight="1" spans="1:5">
      <c r="A10" s="32">
        <v>8</v>
      </c>
      <c r="B10" s="134" t="s">
        <v>14</v>
      </c>
      <c r="C10" s="135" t="s">
        <v>39</v>
      </c>
      <c r="D10" s="99">
        <f t="shared" si="0"/>
        <v>100</v>
      </c>
      <c r="E10" s="99">
        <f t="shared" si="1"/>
        <v>5</v>
      </c>
    </row>
    <row r="11" ht="20" customHeight="1" spans="1:5">
      <c r="A11" s="32">
        <v>9</v>
      </c>
      <c r="B11" s="136" t="s">
        <v>15</v>
      </c>
      <c r="C11" s="135" t="s">
        <v>39</v>
      </c>
      <c r="D11" s="99">
        <f t="shared" si="0"/>
        <v>100</v>
      </c>
      <c r="E11" s="99">
        <f t="shared" si="1"/>
        <v>5</v>
      </c>
    </row>
    <row r="12" ht="20" customHeight="1" spans="1:5">
      <c r="A12" s="32">
        <v>10</v>
      </c>
      <c r="B12" s="136" t="s">
        <v>16</v>
      </c>
      <c r="C12" s="135" t="s">
        <v>39</v>
      </c>
      <c r="D12" s="99">
        <f t="shared" si="0"/>
        <v>100</v>
      </c>
      <c r="E12" s="99">
        <f t="shared" si="1"/>
        <v>5</v>
      </c>
    </row>
    <row r="13" ht="20" customHeight="1" spans="1:5">
      <c r="A13" s="32">
        <v>11</v>
      </c>
      <c r="B13" s="134" t="s">
        <v>17</v>
      </c>
      <c r="C13" s="135" t="s">
        <v>39</v>
      </c>
      <c r="D13" s="99">
        <f t="shared" si="0"/>
        <v>100</v>
      </c>
      <c r="E13" s="99">
        <f t="shared" si="1"/>
        <v>5</v>
      </c>
    </row>
    <row r="14" ht="20" customHeight="1" spans="1:5">
      <c r="A14" s="32">
        <v>12</v>
      </c>
      <c r="B14" s="134" t="s">
        <v>18</v>
      </c>
      <c r="C14" s="135" t="s">
        <v>39</v>
      </c>
      <c r="D14" s="99">
        <f t="shared" si="0"/>
        <v>100</v>
      </c>
      <c r="E14" s="99">
        <f t="shared" si="1"/>
        <v>5</v>
      </c>
    </row>
    <row r="15" ht="20" customHeight="1" spans="1:5">
      <c r="A15" s="32">
        <v>13</v>
      </c>
      <c r="B15" s="134" t="s">
        <v>19</v>
      </c>
      <c r="C15" s="135" t="s">
        <v>39</v>
      </c>
      <c r="D15" s="99">
        <f t="shared" si="0"/>
        <v>100</v>
      </c>
      <c r="E15" s="99">
        <f t="shared" si="1"/>
        <v>5</v>
      </c>
    </row>
    <row r="16" ht="20" customHeight="1" spans="1:5">
      <c r="A16" s="32">
        <v>14</v>
      </c>
      <c r="B16" s="136" t="s">
        <v>20</v>
      </c>
      <c r="C16" s="135" t="s">
        <v>39</v>
      </c>
      <c r="D16" s="99">
        <f t="shared" si="0"/>
        <v>100</v>
      </c>
      <c r="E16" s="99">
        <f t="shared" si="1"/>
        <v>5</v>
      </c>
    </row>
    <row r="17" ht="20" customHeight="1" spans="1:5">
      <c r="A17" s="32">
        <v>15</v>
      </c>
      <c r="B17" s="134" t="s">
        <v>21</v>
      </c>
      <c r="C17" s="135" t="s">
        <v>39</v>
      </c>
      <c r="D17" s="99">
        <f t="shared" si="0"/>
        <v>100</v>
      </c>
      <c r="E17" s="99">
        <f t="shared" si="1"/>
        <v>5</v>
      </c>
    </row>
    <row r="18" ht="20" customHeight="1" spans="1:5">
      <c r="A18" s="32">
        <v>16</v>
      </c>
      <c r="B18" s="134" t="s">
        <v>22</v>
      </c>
      <c r="C18" s="135" t="s">
        <v>39</v>
      </c>
      <c r="D18" s="99">
        <f t="shared" si="0"/>
        <v>100</v>
      </c>
      <c r="E18" s="99">
        <f t="shared" si="1"/>
        <v>5</v>
      </c>
    </row>
    <row r="19" ht="20" customHeight="1" spans="1:5">
      <c r="A19" s="32">
        <v>17</v>
      </c>
      <c r="B19" s="134" t="s">
        <v>23</v>
      </c>
      <c r="C19" s="135" t="s">
        <v>39</v>
      </c>
      <c r="D19" s="99">
        <f t="shared" si="0"/>
        <v>100</v>
      </c>
      <c r="E19" s="99">
        <f t="shared" si="1"/>
        <v>5</v>
      </c>
    </row>
    <row r="20" ht="20" customHeight="1" spans="1:5">
      <c r="A20" s="32">
        <v>18</v>
      </c>
      <c r="B20" s="134" t="s">
        <v>24</v>
      </c>
      <c r="C20" s="135" t="s">
        <v>39</v>
      </c>
      <c r="D20" s="99">
        <f t="shared" si="0"/>
        <v>100</v>
      </c>
      <c r="E20" s="99">
        <f t="shared" si="1"/>
        <v>5</v>
      </c>
    </row>
    <row r="21" ht="20" customHeight="1" spans="1:5">
      <c r="A21" s="32">
        <v>19</v>
      </c>
      <c r="B21" s="134" t="s">
        <v>25</v>
      </c>
      <c r="C21" s="135" t="s">
        <v>39</v>
      </c>
      <c r="D21" s="99">
        <f t="shared" si="0"/>
        <v>100</v>
      </c>
      <c r="E21" s="99">
        <f t="shared" si="1"/>
        <v>5</v>
      </c>
    </row>
    <row r="22" ht="20" customHeight="1" spans="1:5">
      <c r="A22" s="32">
        <v>20</v>
      </c>
      <c r="B22" s="134" t="s">
        <v>26</v>
      </c>
      <c r="C22" s="135" t="s">
        <v>39</v>
      </c>
      <c r="D22" s="99">
        <f t="shared" si="0"/>
        <v>100</v>
      </c>
      <c r="E22" s="99">
        <f t="shared" si="1"/>
        <v>5</v>
      </c>
    </row>
    <row r="23" ht="20" customHeight="1" spans="1:5">
      <c r="A23" s="32">
        <v>21</v>
      </c>
      <c r="B23" s="134" t="s">
        <v>27</v>
      </c>
      <c r="C23" s="135" t="s">
        <v>39</v>
      </c>
      <c r="D23" s="99">
        <f t="shared" si="0"/>
        <v>100</v>
      </c>
      <c r="E23" s="99">
        <f t="shared" si="1"/>
        <v>5</v>
      </c>
    </row>
    <row r="24" ht="20" customHeight="1" spans="1:5">
      <c r="A24" s="32">
        <v>22</v>
      </c>
      <c r="B24" s="134" t="s">
        <v>28</v>
      </c>
      <c r="C24" s="135" t="s">
        <v>39</v>
      </c>
      <c r="D24" s="99">
        <f t="shared" si="0"/>
        <v>100</v>
      </c>
      <c r="E24" s="99">
        <f t="shared" si="1"/>
        <v>5</v>
      </c>
    </row>
    <row r="25" ht="20" customHeight="1" spans="1:5">
      <c r="A25" s="32">
        <v>23</v>
      </c>
      <c r="B25" s="134" t="s">
        <v>29</v>
      </c>
      <c r="C25" s="135" t="s">
        <v>39</v>
      </c>
      <c r="D25" s="99">
        <f t="shared" si="0"/>
        <v>100</v>
      </c>
      <c r="E25" s="99">
        <f t="shared" si="1"/>
        <v>5</v>
      </c>
    </row>
    <row r="26" ht="20" customHeight="1" spans="1:5">
      <c r="A26" s="32">
        <v>24</v>
      </c>
      <c r="B26" s="134" t="s">
        <v>30</v>
      </c>
      <c r="C26" s="135" t="s">
        <v>39</v>
      </c>
      <c r="D26" s="99">
        <f t="shared" si="0"/>
        <v>100</v>
      </c>
      <c r="E26" s="99">
        <f t="shared" si="1"/>
        <v>5</v>
      </c>
    </row>
    <row r="27" ht="20" customHeight="1" spans="1:5">
      <c r="A27" s="32">
        <v>25</v>
      </c>
      <c r="B27" s="134" t="s">
        <v>31</v>
      </c>
      <c r="C27" s="135" t="s">
        <v>39</v>
      </c>
      <c r="D27" s="99">
        <f t="shared" si="0"/>
        <v>100</v>
      </c>
      <c r="E27" s="99">
        <f t="shared" si="1"/>
        <v>5</v>
      </c>
    </row>
    <row r="28" ht="20" customHeight="1" spans="1:5">
      <c r="A28" s="32">
        <v>26</v>
      </c>
      <c r="B28" s="134" t="s">
        <v>32</v>
      </c>
      <c r="C28" s="135" t="s">
        <v>39</v>
      </c>
      <c r="D28" s="99">
        <f t="shared" si="0"/>
        <v>100</v>
      </c>
      <c r="E28" s="99">
        <f t="shared" si="1"/>
        <v>5</v>
      </c>
    </row>
    <row r="29" ht="20" customHeight="1" spans="1:5">
      <c r="A29" s="32">
        <v>27</v>
      </c>
      <c r="B29" s="134" t="s">
        <v>33</v>
      </c>
      <c r="C29" s="135" t="s">
        <v>39</v>
      </c>
      <c r="D29" s="99">
        <f t="shared" si="0"/>
        <v>100</v>
      </c>
      <c r="E29" s="99">
        <f t="shared" si="1"/>
        <v>5</v>
      </c>
    </row>
    <row r="30" ht="20" customHeight="1" spans="1:5">
      <c r="A30" s="32">
        <v>28</v>
      </c>
      <c r="B30" s="134" t="s">
        <v>34</v>
      </c>
      <c r="C30" s="135" t="s">
        <v>39</v>
      </c>
      <c r="D30" s="99">
        <f t="shared" si="0"/>
        <v>100</v>
      </c>
      <c r="E30" s="99">
        <f t="shared" si="1"/>
        <v>5</v>
      </c>
    </row>
    <row r="31" ht="20" customHeight="1" spans="1:5">
      <c r="A31" s="137" t="s">
        <v>40</v>
      </c>
      <c r="B31" s="138"/>
      <c r="C31" s="135" t="s">
        <v>39</v>
      </c>
      <c r="D31" s="99">
        <f t="shared" si="0"/>
        <v>100</v>
      </c>
      <c r="E31" s="99">
        <f t="shared" si="1"/>
        <v>5</v>
      </c>
    </row>
  </sheetData>
  <mergeCells count="2">
    <mergeCell ref="A1:E1"/>
    <mergeCell ref="A31:B31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1"/>
  <sheetViews>
    <sheetView topLeftCell="B1" workbookViewId="0">
      <selection activeCell="L33" sqref="L33"/>
    </sheetView>
  </sheetViews>
  <sheetFormatPr defaultColWidth="9.14285714285714" defaultRowHeight="15"/>
  <cols>
    <col min="1" max="1" width="4.42857142857143" customWidth="1"/>
    <col min="2" max="2" width="19.2857142857143" customWidth="1"/>
    <col min="3" max="5" width="6.57142857142857" customWidth="1"/>
    <col min="6" max="6" width="5.57142857142857" customWidth="1"/>
    <col min="7" max="7" width="7.57142857142857" customWidth="1"/>
    <col min="8" max="8" width="6.85714285714286" customWidth="1"/>
    <col min="9" max="10" width="6.57142857142857" customWidth="1"/>
    <col min="11" max="11" width="7.85714285714286" customWidth="1"/>
    <col min="12" max="12" width="6.42857142857143" customWidth="1"/>
    <col min="13" max="13" width="9.14285714285714" customWidth="1"/>
    <col min="14" max="14" width="6.17142857142857" customWidth="1"/>
    <col min="15" max="15" width="9" style="25" customWidth="1"/>
    <col min="16" max="16" width="9.42857142857143" style="25" customWidth="1"/>
    <col min="17" max="17" width="8" style="25" customWidth="1"/>
  </cols>
  <sheetData>
    <row r="1" ht="18.75" spans="1:17">
      <c r="A1" s="122" t="s">
        <v>41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ht="30" spans="1:17">
      <c r="A2" s="123" t="s">
        <v>42</v>
      </c>
      <c r="B2" s="123" t="s">
        <v>43</v>
      </c>
      <c r="C2" s="123" t="s">
        <v>44</v>
      </c>
      <c r="D2" s="123" t="s">
        <v>45</v>
      </c>
      <c r="E2" s="123" t="s">
        <v>46</v>
      </c>
      <c r="F2" s="123" t="s">
        <v>47</v>
      </c>
      <c r="G2" s="123" t="s">
        <v>48</v>
      </c>
      <c r="H2" s="123" t="s">
        <v>49</v>
      </c>
      <c r="I2" s="123" t="s">
        <v>50</v>
      </c>
      <c r="J2" s="123" t="s">
        <v>51</v>
      </c>
      <c r="K2" s="123" t="s">
        <v>52</v>
      </c>
      <c r="L2" s="123" t="s">
        <v>53</v>
      </c>
      <c r="M2" s="123" t="s">
        <v>54</v>
      </c>
      <c r="N2" s="123" t="s">
        <v>55</v>
      </c>
      <c r="O2" s="118" t="s">
        <v>56</v>
      </c>
      <c r="P2" s="110" t="s">
        <v>5</v>
      </c>
      <c r="Q2" s="119" t="s">
        <v>6</v>
      </c>
    </row>
    <row r="3" ht="17" customHeight="1" spans="1:17">
      <c r="A3" s="124">
        <v>1</v>
      </c>
      <c r="B3" s="125" t="s">
        <v>11</v>
      </c>
      <c r="C3" s="124">
        <v>2869</v>
      </c>
      <c r="D3" s="124">
        <v>2116</v>
      </c>
      <c r="E3" s="124">
        <v>1957</v>
      </c>
      <c r="F3" s="124">
        <v>185</v>
      </c>
      <c r="G3" s="124">
        <v>9607</v>
      </c>
      <c r="H3" s="124">
        <v>13668</v>
      </c>
      <c r="I3" s="124">
        <v>2297</v>
      </c>
      <c r="J3" s="124">
        <v>657</v>
      </c>
      <c r="K3" s="124">
        <v>1865</v>
      </c>
      <c r="L3" s="124">
        <v>93</v>
      </c>
      <c r="M3" s="124">
        <v>207</v>
      </c>
      <c r="N3" s="126">
        <v>2960</v>
      </c>
      <c r="O3" s="111">
        <f>IFERROR((D3+E3+F3+G3+H3+I3+J3+K3+L3+M3+N3)/C3,0)</f>
        <v>12.4126873475078</v>
      </c>
      <c r="P3" s="112">
        <f>(O3-MIN($O$3:$O$30))*100/(MAX($O$3:$O$30)-MIN($O$3:$O$30))</f>
        <v>74.2321578711722</v>
      </c>
      <c r="Q3" s="113">
        <f>5/100*P3</f>
        <v>3.71160789355861</v>
      </c>
    </row>
    <row r="4" ht="17" customHeight="1" spans="1:17">
      <c r="A4" s="124">
        <v>2</v>
      </c>
      <c r="B4" s="125" t="s">
        <v>20</v>
      </c>
      <c r="C4" s="124">
        <v>4784</v>
      </c>
      <c r="D4" s="124">
        <v>3538</v>
      </c>
      <c r="E4" s="124">
        <v>4844</v>
      </c>
      <c r="F4" s="124">
        <v>321</v>
      </c>
      <c r="G4" s="124">
        <v>10240</v>
      </c>
      <c r="H4" s="124">
        <v>23305</v>
      </c>
      <c r="I4" s="124">
        <v>3748</v>
      </c>
      <c r="J4" s="124">
        <v>1180</v>
      </c>
      <c r="K4" s="124">
        <v>3639</v>
      </c>
      <c r="L4" s="124">
        <v>203</v>
      </c>
      <c r="M4" s="124">
        <v>161</v>
      </c>
      <c r="N4" s="126">
        <v>4112</v>
      </c>
      <c r="O4" s="111">
        <f t="shared" ref="O4:O30" si="0">IFERROR((D4+E4+F4+G4+H4+I4+J4+K4+L4+M4+N4)/C4,0)</f>
        <v>11.557483277592</v>
      </c>
      <c r="P4" s="112">
        <f t="shared" ref="P4:P30" si="1">(O4-MIN($O$3:$O$30))*100/(MAX($O$3:$O$30)-MIN($O$3:$O$30))</f>
        <v>59.847950865727</v>
      </c>
      <c r="Q4" s="113">
        <f t="shared" ref="Q4:Q31" si="2">5/100*P4</f>
        <v>2.99239754328635</v>
      </c>
    </row>
    <row r="5" ht="17" customHeight="1" spans="1:17">
      <c r="A5" s="124">
        <v>3</v>
      </c>
      <c r="B5" s="125" t="s">
        <v>10</v>
      </c>
      <c r="C5" s="124">
        <v>5584</v>
      </c>
      <c r="D5" s="124">
        <v>4429</v>
      </c>
      <c r="E5" s="124">
        <v>4943</v>
      </c>
      <c r="F5" s="124">
        <v>386</v>
      </c>
      <c r="G5" s="124">
        <v>11829</v>
      </c>
      <c r="H5" s="124">
        <v>21899</v>
      </c>
      <c r="I5" s="124">
        <v>4073</v>
      </c>
      <c r="J5" s="124">
        <v>1498</v>
      </c>
      <c r="K5" s="124">
        <v>3708</v>
      </c>
      <c r="L5" s="124">
        <v>309</v>
      </c>
      <c r="M5" s="124">
        <v>284</v>
      </c>
      <c r="N5" s="126">
        <v>4019</v>
      </c>
      <c r="O5" s="111">
        <f t="shared" si="0"/>
        <v>10.2752507163324</v>
      </c>
      <c r="P5" s="112">
        <f t="shared" si="1"/>
        <v>38.2812871428863</v>
      </c>
      <c r="Q5" s="113">
        <f t="shared" si="2"/>
        <v>1.91406435714431</v>
      </c>
    </row>
    <row r="6" ht="17" customHeight="1" spans="1:17">
      <c r="A6" s="124">
        <v>4</v>
      </c>
      <c r="B6" s="125" t="s">
        <v>8</v>
      </c>
      <c r="C6" s="124">
        <v>5786</v>
      </c>
      <c r="D6" s="124">
        <v>4860</v>
      </c>
      <c r="E6" s="124">
        <v>6481</v>
      </c>
      <c r="F6" s="124">
        <v>401</v>
      </c>
      <c r="G6" s="124">
        <v>14830</v>
      </c>
      <c r="H6" s="124">
        <v>26490</v>
      </c>
      <c r="I6" s="124">
        <v>4085</v>
      </c>
      <c r="J6" s="124">
        <v>1551</v>
      </c>
      <c r="K6" s="124">
        <v>3381</v>
      </c>
      <c r="L6" s="124">
        <v>229</v>
      </c>
      <c r="M6" s="124">
        <v>234</v>
      </c>
      <c r="N6" s="126">
        <v>5542</v>
      </c>
      <c r="O6" s="111">
        <f t="shared" si="0"/>
        <v>11.767023850674</v>
      </c>
      <c r="P6" s="112">
        <f t="shared" si="1"/>
        <v>63.3723435636577</v>
      </c>
      <c r="Q6" s="113">
        <f t="shared" si="2"/>
        <v>3.16861717818288</v>
      </c>
    </row>
    <row r="7" ht="17" customHeight="1" spans="1:17">
      <c r="A7" s="124">
        <v>5</v>
      </c>
      <c r="B7" s="125" t="s">
        <v>7</v>
      </c>
      <c r="C7" s="124">
        <v>5953</v>
      </c>
      <c r="D7" s="124">
        <v>2176</v>
      </c>
      <c r="E7" s="124">
        <v>5672</v>
      </c>
      <c r="F7" s="124">
        <v>496</v>
      </c>
      <c r="G7" s="124">
        <v>7621</v>
      </c>
      <c r="H7" s="124">
        <v>22896</v>
      </c>
      <c r="I7" s="124">
        <v>4043</v>
      </c>
      <c r="J7" s="124">
        <v>1667</v>
      </c>
      <c r="K7" s="124">
        <v>2816</v>
      </c>
      <c r="L7" s="124">
        <v>273</v>
      </c>
      <c r="M7" s="124">
        <v>754</v>
      </c>
      <c r="N7" s="126">
        <v>5821</v>
      </c>
      <c r="O7" s="111">
        <f t="shared" si="0"/>
        <v>9.11053250461952</v>
      </c>
      <c r="P7" s="112">
        <f t="shared" si="1"/>
        <v>18.6911700589744</v>
      </c>
      <c r="Q7" s="113">
        <f t="shared" si="2"/>
        <v>0.934558502948721</v>
      </c>
    </row>
    <row r="8" ht="17" customHeight="1" spans="1:17">
      <c r="A8" s="124">
        <v>6</v>
      </c>
      <c r="B8" s="125" t="s">
        <v>21</v>
      </c>
      <c r="C8" s="124">
        <v>2121</v>
      </c>
      <c r="D8" s="124">
        <v>1573</v>
      </c>
      <c r="E8" s="124">
        <v>2682</v>
      </c>
      <c r="F8" s="124">
        <v>131</v>
      </c>
      <c r="G8" s="124">
        <v>6953</v>
      </c>
      <c r="H8" s="124">
        <v>9776</v>
      </c>
      <c r="I8" s="124">
        <v>1535</v>
      </c>
      <c r="J8" s="124">
        <v>649</v>
      </c>
      <c r="K8" s="124">
        <v>1188</v>
      </c>
      <c r="L8" s="124">
        <v>109</v>
      </c>
      <c r="M8" s="124">
        <v>213</v>
      </c>
      <c r="N8" s="126">
        <v>1696</v>
      </c>
      <c r="O8" s="111">
        <f t="shared" si="0"/>
        <v>12.4964639321075</v>
      </c>
      <c r="P8" s="112">
        <f t="shared" si="1"/>
        <v>75.6412481427014</v>
      </c>
      <c r="Q8" s="113">
        <f t="shared" si="2"/>
        <v>3.78206240713507</v>
      </c>
    </row>
    <row r="9" ht="17" customHeight="1" spans="1:17">
      <c r="A9" s="124">
        <v>7</v>
      </c>
      <c r="B9" s="125" t="s">
        <v>9</v>
      </c>
      <c r="C9" s="124">
        <v>1771</v>
      </c>
      <c r="D9" s="124">
        <v>1265</v>
      </c>
      <c r="E9" s="124">
        <v>1836</v>
      </c>
      <c r="F9" s="124">
        <v>124</v>
      </c>
      <c r="G9" s="124">
        <v>7004</v>
      </c>
      <c r="H9" s="124">
        <v>7352</v>
      </c>
      <c r="I9" s="124">
        <v>1282</v>
      </c>
      <c r="J9" s="124">
        <v>523</v>
      </c>
      <c r="K9" s="124">
        <v>962</v>
      </c>
      <c r="L9" s="124">
        <v>113</v>
      </c>
      <c r="M9" s="124">
        <v>158</v>
      </c>
      <c r="N9" s="126">
        <v>1636</v>
      </c>
      <c r="O9" s="111">
        <f t="shared" si="0"/>
        <v>12.5663466967815</v>
      </c>
      <c r="P9" s="112">
        <f t="shared" si="1"/>
        <v>76.8166496504167</v>
      </c>
      <c r="Q9" s="113">
        <f t="shared" si="2"/>
        <v>3.84083248252084</v>
      </c>
    </row>
    <row r="10" ht="17" customHeight="1" spans="1:17">
      <c r="A10" s="124">
        <v>8</v>
      </c>
      <c r="B10" s="125" t="s">
        <v>18</v>
      </c>
      <c r="C10" s="124">
        <v>1914</v>
      </c>
      <c r="D10" s="124">
        <v>1191</v>
      </c>
      <c r="E10" s="124">
        <v>1980</v>
      </c>
      <c r="F10" s="124">
        <v>86</v>
      </c>
      <c r="G10" s="124">
        <v>5858</v>
      </c>
      <c r="H10" s="124">
        <v>10425</v>
      </c>
      <c r="I10" s="124">
        <v>1428</v>
      </c>
      <c r="J10" s="124">
        <v>568</v>
      </c>
      <c r="K10" s="124">
        <v>961</v>
      </c>
      <c r="L10" s="124">
        <v>84</v>
      </c>
      <c r="M10" s="124">
        <v>206</v>
      </c>
      <c r="N10" s="126">
        <v>1709</v>
      </c>
      <c r="O10" s="111">
        <f t="shared" si="0"/>
        <v>12.7983281086729</v>
      </c>
      <c r="P10" s="112">
        <f t="shared" si="1"/>
        <v>80.7184887171911</v>
      </c>
      <c r="Q10" s="113">
        <f t="shared" si="2"/>
        <v>4.03592443585956</v>
      </c>
    </row>
    <row r="11" ht="17" customHeight="1" spans="1:17">
      <c r="A11" s="124">
        <v>9</v>
      </c>
      <c r="B11" s="125" t="s">
        <v>16</v>
      </c>
      <c r="C11" s="124">
        <v>2853</v>
      </c>
      <c r="D11" s="124">
        <v>1698</v>
      </c>
      <c r="E11" s="124">
        <v>2016</v>
      </c>
      <c r="F11" s="124">
        <v>124</v>
      </c>
      <c r="G11" s="124">
        <v>6068</v>
      </c>
      <c r="H11" s="124">
        <v>11108</v>
      </c>
      <c r="I11" s="124">
        <v>2096</v>
      </c>
      <c r="J11" s="124">
        <v>720</v>
      </c>
      <c r="K11" s="124">
        <v>1756</v>
      </c>
      <c r="L11" s="124">
        <v>112</v>
      </c>
      <c r="M11" s="124">
        <v>135</v>
      </c>
      <c r="N11" s="126">
        <v>2617</v>
      </c>
      <c r="O11" s="111">
        <f t="shared" si="0"/>
        <v>9.97195934104452</v>
      </c>
      <c r="P11" s="112">
        <f t="shared" si="1"/>
        <v>33.1800416290103</v>
      </c>
      <c r="Q11" s="113">
        <f t="shared" si="2"/>
        <v>1.65900208145051</v>
      </c>
    </row>
    <row r="12" ht="17" customHeight="1" spans="1:17">
      <c r="A12" s="124">
        <v>10</v>
      </c>
      <c r="B12" s="125" t="s">
        <v>13</v>
      </c>
      <c r="C12" s="124">
        <v>1899</v>
      </c>
      <c r="D12" s="124">
        <v>994</v>
      </c>
      <c r="E12" s="124">
        <v>1951</v>
      </c>
      <c r="F12" s="124">
        <v>68</v>
      </c>
      <c r="G12" s="124">
        <v>4801</v>
      </c>
      <c r="H12" s="124">
        <v>8579</v>
      </c>
      <c r="I12" s="124">
        <v>1475</v>
      </c>
      <c r="J12" s="124">
        <v>439</v>
      </c>
      <c r="K12" s="124">
        <v>1171</v>
      </c>
      <c r="L12" s="124">
        <v>78</v>
      </c>
      <c r="M12" s="124">
        <v>159</v>
      </c>
      <c r="N12" s="126">
        <v>2243</v>
      </c>
      <c r="O12" s="111">
        <f t="shared" si="0"/>
        <v>11.5629278567667</v>
      </c>
      <c r="P12" s="112">
        <f t="shared" si="1"/>
        <v>59.9395266154948</v>
      </c>
      <c r="Q12" s="113">
        <f t="shared" si="2"/>
        <v>2.99697633077474</v>
      </c>
    </row>
    <row r="13" ht="17" customHeight="1" spans="1:17">
      <c r="A13" s="124">
        <v>11</v>
      </c>
      <c r="B13" s="125" t="s">
        <v>12</v>
      </c>
      <c r="C13" s="124">
        <v>1852</v>
      </c>
      <c r="D13" s="124">
        <v>1000</v>
      </c>
      <c r="E13" s="124">
        <v>2198</v>
      </c>
      <c r="F13" s="124">
        <v>133</v>
      </c>
      <c r="G13" s="124">
        <v>5280</v>
      </c>
      <c r="H13" s="124">
        <v>8219</v>
      </c>
      <c r="I13" s="124">
        <v>1378</v>
      </c>
      <c r="J13" s="124">
        <v>535</v>
      </c>
      <c r="K13" s="124">
        <v>957</v>
      </c>
      <c r="L13" s="124">
        <v>112</v>
      </c>
      <c r="M13" s="124">
        <v>162</v>
      </c>
      <c r="N13" s="126">
        <v>2213</v>
      </c>
      <c r="O13" s="111">
        <f t="shared" si="0"/>
        <v>11.9800215982721</v>
      </c>
      <c r="P13" s="112">
        <f t="shared" si="1"/>
        <v>66.9548846213096</v>
      </c>
      <c r="Q13" s="113">
        <f t="shared" si="2"/>
        <v>3.34774423106548</v>
      </c>
    </row>
    <row r="14" ht="17" customHeight="1" spans="1:17">
      <c r="A14" s="124">
        <v>12</v>
      </c>
      <c r="B14" s="125" t="s">
        <v>15</v>
      </c>
      <c r="C14" s="124">
        <v>2172</v>
      </c>
      <c r="D14" s="124">
        <v>824</v>
      </c>
      <c r="E14" s="124">
        <v>1590</v>
      </c>
      <c r="F14" s="124">
        <v>56</v>
      </c>
      <c r="G14" s="124">
        <v>3662</v>
      </c>
      <c r="H14" s="124">
        <v>5656</v>
      </c>
      <c r="I14" s="124">
        <v>1578</v>
      </c>
      <c r="J14" s="124">
        <v>553</v>
      </c>
      <c r="K14" s="124">
        <v>1383</v>
      </c>
      <c r="L14" s="124">
        <v>42</v>
      </c>
      <c r="M14" s="124">
        <v>158</v>
      </c>
      <c r="N14" s="126">
        <v>1992</v>
      </c>
      <c r="O14" s="111">
        <f t="shared" si="0"/>
        <v>8.05432780847145</v>
      </c>
      <c r="P14" s="112">
        <f t="shared" si="1"/>
        <v>0.926209011710275</v>
      </c>
      <c r="Q14" s="113">
        <f t="shared" si="2"/>
        <v>0.0463104505855137</v>
      </c>
    </row>
    <row r="15" ht="17" customHeight="1" spans="1:17">
      <c r="A15" s="124">
        <v>13</v>
      </c>
      <c r="B15" s="125" t="s">
        <v>14</v>
      </c>
      <c r="C15" s="124">
        <v>1704</v>
      </c>
      <c r="D15" s="124">
        <v>1437</v>
      </c>
      <c r="E15" s="124">
        <v>1491</v>
      </c>
      <c r="F15" s="124">
        <v>113</v>
      </c>
      <c r="G15" s="124">
        <v>2685</v>
      </c>
      <c r="H15" s="124">
        <v>5687</v>
      </c>
      <c r="I15" s="124">
        <v>1368</v>
      </c>
      <c r="J15" s="124">
        <v>305</v>
      </c>
      <c r="K15" s="124">
        <v>1064</v>
      </c>
      <c r="L15" s="124">
        <v>61</v>
      </c>
      <c r="M15" s="124">
        <v>202</v>
      </c>
      <c r="N15" s="126">
        <v>1544</v>
      </c>
      <c r="O15" s="111">
        <f t="shared" si="0"/>
        <v>9.36443661971831</v>
      </c>
      <c r="P15" s="112">
        <f t="shared" si="1"/>
        <v>22.961740650944</v>
      </c>
      <c r="Q15" s="113">
        <f t="shared" si="2"/>
        <v>1.1480870325472</v>
      </c>
    </row>
    <row r="16" ht="17" customHeight="1" spans="1:17">
      <c r="A16" s="124">
        <v>14</v>
      </c>
      <c r="B16" s="125" t="s">
        <v>19</v>
      </c>
      <c r="C16" s="124">
        <v>1611</v>
      </c>
      <c r="D16" s="124">
        <v>563</v>
      </c>
      <c r="E16" s="124">
        <v>1382</v>
      </c>
      <c r="F16" s="124">
        <v>42</v>
      </c>
      <c r="G16" s="124">
        <v>3439</v>
      </c>
      <c r="H16" s="124">
        <v>4891</v>
      </c>
      <c r="I16" s="124">
        <v>1265</v>
      </c>
      <c r="J16" s="124">
        <v>297</v>
      </c>
      <c r="K16" s="124">
        <v>1045</v>
      </c>
      <c r="L16" s="124">
        <v>39</v>
      </c>
      <c r="M16" s="124">
        <v>117</v>
      </c>
      <c r="N16" s="126">
        <v>1621</v>
      </c>
      <c r="O16" s="111">
        <f t="shared" si="0"/>
        <v>9.12538795779019</v>
      </c>
      <c r="P16" s="112">
        <f t="shared" si="1"/>
        <v>18.9410331280167</v>
      </c>
      <c r="Q16" s="113">
        <f t="shared" si="2"/>
        <v>0.947051656400837</v>
      </c>
    </row>
    <row r="17" ht="17" customHeight="1" spans="1:17">
      <c r="A17" s="124">
        <v>15</v>
      </c>
      <c r="B17" s="125" t="s">
        <v>17</v>
      </c>
      <c r="C17" s="124">
        <v>1482</v>
      </c>
      <c r="D17" s="124">
        <v>876</v>
      </c>
      <c r="E17" s="124">
        <v>1844</v>
      </c>
      <c r="F17" s="124">
        <v>34</v>
      </c>
      <c r="G17" s="124">
        <v>3264</v>
      </c>
      <c r="H17" s="124">
        <v>6100</v>
      </c>
      <c r="I17" s="124">
        <v>1177</v>
      </c>
      <c r="J17" s="124">
        <v>301</v>
      </c>
      <c r="K17" s="124">
        <v>1062</v>
      </c>
      <c r="L17" s="124">
        <v>55</v>
      </c>
      <c r="M17" s="124">
        <v>49</v>
      </c>
      <c r="N17" s="126">
        <v>1279</v>
      </c>
      <c r="O17" s="111">
        <f t="shared" si="0"/>
        <v>10.8238866396761</v>
      </c>
      <c r="P17" s="112">
        <f t="shared" si="1"/>
        <v>47.5091345884395</v>
      </c>
      <c r="Q17" s="113">
        <f t="shared" si="2"/>
        <v>2.37545672942197</v>
      </c>
    </row>
    <row r="18" ht="17" customHeight="1" spans="1:17">
      <c r="A18" s="124">
        <v>16</v>
      </c>
      <c r="B18" s="125" t="s">
        <v>22</v>
      </c>
      <c r="C18" s="124">
        <v>2188</v>
      </c>
      <c r="D18" s="124">
        <v>1880</v>
      </c>
      <c r="E18" s="124">
        <v>2548</v>
      </c>
      <c r="F18" s="124">
        <v>142</v>
      </c>
      <c r="G18" s="124">
        <v>7960</v>
      </c>
      <c r="H18" s="124">
        <v>12317</v>
      </c>
      <c r="I18" s="124">
        <v>1555</v>
      </c>
      <c r="J18" s="124">
        <v>558</v>
      </c>
      <c r="K18" s="124">
        <v>1207</v>
      </c>
      <c r="L18" s="124">
        <v>51</v>
      </c>
      <c r="M18" s="124">
        <v>238</v>
      </c>
      <c r="N18" s="126">
        <v>2055</v>
      </c>
      <c r="O18" s="111">
        <f t="shared" si="0"/>
        <v>13.9446983546618</v>
      </c>
      <c r="P18" s="112">
        <f t="shared" si="1"/>
        <v>100</v>
      </c>
      <c r="Q18" s="113">
        <f t="shared" si="2"/>
        <v>5</v>
      </c>
    </row>
    <row r="19" ht="17" customHeight="1" spans="1:17">
      <c r="A19" s="124">
        <v>17</v>
      </c>
      <c r="B19" s="125" t="s">
        <v>26</v>
      </c>
      <c r="C19" s="124">
        <v>5200</v>
      </c>
      <c r="D19" s="124">
        <v>2919</v>
      </c>
      <c r="E19" s="124">
        <v>4439</v>
      </c>
      <c r="F19" s="124">
        <v>270</v>
      </c>
      <c r="G19" s="124">
        <v>13593</v>
      </c>
      <c r="H19" s="124">
        <v>19818</v>
      </c>
      <c r="I19" s="124">
        <v>3890</v>
      </c>
      <c r="J19" s="124">
        <v>1408</v>
      </c>
      <c r="K19" s="124">
        <v>2844</v>
      </c>
      <c r="L19" s="124">
        <v>237</v>
      </c>
      <c r="M19" s="124">
        <v>558</v>
      </c>
      <c r="N19" s="126">
        <v>4510</v>
      </c>
      <c r="O19" s="111">
        <f t="shared" si="0"/>
        <v>10.4780769230769</v>
      </c>
      <c r="P19" s="112">
        <f t="shared" si="1"/>
        <v>41.6927467541926</v>
      </c>
      <c r="Q19" s="113">
        <f t="shared" si="2"/>
        <v>2.08463733770963</v>
      </c>
    </row>
    <row r="20" ht="17" customHeight="1" spans="1:17">
      <c r="A20" s="124">
        <v>18</v>
      </c>
      <c r="B20" s="125" t="s">
        <v>29</v>
      </c>
      <c r="C20" s="124">
        <v>1265</v>
      </c>
      <c r="D20" s="124">
        <v>1222</v>
      </c>
      <c r="E20" s="124">
        <v>31</v>
      </c>
      <c r="F20" s="124">
        <v>0</v>
      </c>
      <c r="G20" s="124">
        <v>2972</v>
      </c>
      <c r="H20" s="124">
        <v>3780</v>
      </c>
      <c r="I20" s="124">
        <v>1205</v>
      </c>
      <c r="J20" s="124">
        <v>34</v>
      </c>
      <c r="K20" s="124">
        <v>915</v>
      </c>
      <c r="L20" s="124">
        <v>0</v>
      </c>
      <c r="M20" s="124">
        <v>129</v>
      </c>
      <c r="N20" s="126">
        <v>1244</v>
      </c>
      <c r="O20" s="111">
        <f t="shared" si="0"/>
        <v>9.11620553359684</v>
      </c>
      <c r="P20" s="112">
        <f t="shared" si="1"/>
        <v>18.7865882474843</v>
      </c>
      <c r="Q20" s="113">
        <f t="shared" si="2"/>
        <v>0.939329412374216</v>
      </c>
    </row>
    <row r="21" ht="17" customHeight="1" spans="1:17">
      <c r="A21" s="124">
        <v>19</v>
      </c>
      <c r="B21" s="125" t="s">
        <v>23</v>
      </c>
      <c r="C21" s="124">
        <v>11391</v>
      </c>
      <c r="D21" s="124">
        <v>8009</v>
      </c>
      <c r="E21" s="124">
        <v>10681</v>
      </c>
      <c r="F21" s="124">
        <v>704</v>
      </c>
      <c r="G21" s="124">
        <v>19011</v>
      </c>
      <c r="H21" s="124">
        <v>29626</v>
      </c>
      <c r="I21" s="124">
        <v>8475</v>
      </c>
      <c r="J21" s="124">
        <v>2350</v>
      </c>
      <c r="K21" s="124">
        <v>6884</v>
      </c>
      <c r="L21" s="124">
        <v>263</v>
      </c>
      <c r="M21" s="124">
        <v>1579</v>
      </c>
      <c r="N21" s="126">
        <v>5603</v>
      </c>
      <c r="O21" s="111">
        <f t="shared" si="0"/>
        <v>8.18058116056536</v>
      </c>
      <c r="P21" s="112">
        <f t="shared" si="1"/>
        <v>3.04974234782822</v>
      </c>
      <c r="Q21" s="113">
        <f t="shared" si="2"/>
        <v>0.152487117391411</v>
      </c>
    </row>
    <row r="22" ht="17" customHeight="1" spans="1:17">
      <c r="A22" s="124">
        <v>20</v>
      </c>
      <c r="B22" s="125" t="s">
        <v>30</v>
      </c>
      <c r="C22" s="124">
        <v>2351</v>
      </c>
      <c r="D22" s="124">
        <v>1622</v>
      </c>
      <c r="E22" s="124">
        <v>2744</v>
      </c>
      <c r="F22" s="124">
        <v>172</v>
      </c>
      <c r="G22" s="124">
        <v>5418</v>
      </c>
      <c r="H22" s="124">
        <v>10443</v>
      </c>
      <c r="I22" s="124">
        <v>1910</v>
      </c>
      <c r="J22" s="124">
        <v>457</v>
      </c>
      <c r="K22" s="124">
        <v>1463</v>
      </c>
      <c r="L22" s="124">
        <v>141</v>
      </c>
      <c r="M22" s="124">
        <v>143</v>
      </c>
      <c r="N22" s="126">
        <v>2786</v>
      </c>
      <c r="O22" s="111">
        <f t="shared" si="0"/>
        <v>11.6116546150574</v>
      </c>
      <c r="P22" s="112">
        <f t="shared" si="1"/>
        <v>60.7590921468267</v>
      </c>
      <c r="Q22" s="113">
        <f t="shared" si="2"/>
        <v>3.03795460734133</v>
      </c>
    </row>
    <row r="23" ht="17" customHeight="1" spans="1:17">
      <c r="A23" s="124">
        <v>21</v>
      </c>
      <c r="B23" s="125" t="s">
        <v>25</v>
      </c>
      <c r="C23" s="124">
        <v>2553</v>
      </c>
      <c r="D23" s="124">
        <v>2289</v>
      </c>
      <c r="E23" s="124">
        <v>3165</v>
      </c>
      <c r="F23" s="124">
        <v>104</v>
      </c>
      <c r="G23" s="124">
        <v>7672</v>
      </c>
      <c r="H23" s="124">
        <v>12023</v>
      </c>
      <c r="I23" s="124">
        <v>2179</v>
      </c>
      <c r="J23" s="124">
        <v>439</v>
      </c>
      <c r="K23" s="124">
        <v>1605</v>
      </c>
      <c r="L23" s="124">
        <v>139</v>
      </c>
      <c r="M23" s="124">
        <v>284</v>
      </c>
      <c r="N23" s="126">
        <v>2446</v>
      </c>
      <c r="O23" s="111">
        <f t="shared" si="0"/>
        <v>12.6694085389738</v>
      </c>
      <c r="P23" s="112">
        <f t="shared" si="1"/>
        <v>78.5501106155898</v>
      </c>
      <c r="Q23" s="113">
        <f t="shared" si="2"/>
        <v>3.92750553077949</v>
      </c>
    </row>
    <row r="24" ht="17" customHeight="1" spans="1:17">
      <c r="A24" s="124">
        <v>22</v>
      </c>
      <c r="B24" s="125" t="s">
        <v>31</v>
      </c>
      <c r="C24" s="124">
        <v>3206</v>
      </c>
      <c r="D24" s="124">
        <v>2564</v>
      </c>
      <c r="E24" s="124">
        <v>4802</v>
      </c>
      <c r="F24" s="124">
        <v>483</v>
      </c>
      <c r="G24" s="124">
        <v>5542</v>
      </c>
      <c r="H24" s="124">
        <v>6764</v>
      </c>
      <c r="I24" s="124">
        <v>2173</v>
      </c>
      <c r="J24" s="124">
        <v>693</v>
      </c>
      <c r="K24" s="124">
        <v>1762</v>
      </c>
      <c r="L24" s="124">
        <v>89</v>
      </c>
      <c r="M24" s="124">
        <v>549</v>
      </c>
      <c r="N24" s="126">
        <v>1601</v>
      </c>
      <c r="O24" s="111">
        <f t="shared" si="0"/>
        <v>8.42857142857143</v>
      </c>
      <c r="P24" s="112">
        <f t="shared" si="1"/>
        <v>7.22084428223095</v>
      </c>
      <c r="Q24" s="113">
        <f t="shared" si="2"/>
        <v>0.361042214111547</v>
      </c>
    </row>
    <row r="25" ht="17" customHeight="1" spans="1:17">
      <c r="A25" s="124">
        <v>23</v>
      </c>
      <c r="B25" s="125" t="s">
        <v>24</v>
      </c>
      <c r="C25" s="124">
        <v>2705</v>
      </c>
      <c r="D25" s="124">
        <v>1614</v>
      </c>
      <c r="E25" s="124">
        <v>3263</v>
      </c>
      <c r="F25" s="124">
        <v>209</v>
      </c>
      <c r="G25" s="124">
        <v>3330</v>
      </c>
      <c r="H25" s="124">
        <v>7044</v>
      </c>
      <c r="I25" s="124">
        <v>1819</v>
      </c>
      <c r="J25" s="124">
        <v>702</v>
      </c>
      <c r="K25" s="124">
        <v>1732</v>
      </c>
      <c r="L25" s="124">
        <v>201</v>
      </c>
      <c r="M25" s="124">
        <v>233</v>
      </c>
      <c r="N25" s="126">
        <v>1491</v>
      </c>
      <c r="O25" s="111">
        <f t="shared" si="0"/>
        <v>7.9992606284658</v>
      </c>
      <c r="P25" s="112">
        <f t="shared" si="1"/>
        <v>0</v>
      </c>
      <c r="Q25" s="113">
        <f t="shared" si="2"/>
        <v>0</v>
      </c>
    </row>
    <row r="26" ht="17" customHeight="1" spans="1:17">
      <c r="A26" s="124">
        <v>24</v>
      </c>
      <c r="B26" s="125" t="s">
        <v>28</v>
      </c>
      <c r="C26" s="124">
        <v>3196</v>
      </c>
      <c r="D26" s="124">
        <v>2444</v>
      </c>
      <c r="E26" s="124">
        <v>3993</v>
      </c>
      <c r="F26" s="124">
        <v>194</v>
      </c>
      <c r="G26" s="124">
        <v>6521</v>
      </c>
      <c r="H26" s="124">
        <v>8020</v>
      </c>
      <c r="I26" s="124">
        <v>2272</v>
      </c>
      <c r="J26" s="124">
        <v>707</v>
      </c>
      <c r="K26" s="124">
        <v>2061</v>
      </c>
      <c r="L26" s="124">
        <v>78</v>
      </c>
      <c r="M26" s="124">
        <v>380</v>
      </c>
      <c r="N26" s="126">
        <v>1414</v>
      </c>
      <c r="O26" s="111">
        <f t="shared" si="0"/>
        <v>8.78723404255319</v>
      </c>
      <c r="P26" s="112">
        <f t="shared" si="1"/>
        <v>13.2534129592431</v>
      </c>
      <c r="Q26" s="113">
        <f t="shared" si="2"/>
        <v>0.662670647962154</v>
      </c>
    </row>
    <row r="27" ht="17" customHeight="1" spans="1:17">
      <c r="A27" s="124">
        <v>25</v>
      </c>
      <c r="B27" s="125" t="s">
        <v>34</v>
      </c>
      <c r="C27" s="124">
        <v>2974</v>
      </c>
      <c r="D27" s="124">
        <v>1956</v>
      </c>
      <c r="E27" s="124">
        <v>3451</v>
      </c>
      <c r="F27" s="124">
        <v>272</v>
      </c>
      <c r="G27" s="124">
        <v>4689</v>
      </c>
      <c r="H27" s="124">
        <v>8559</v>
      </c>
      <c r="I27" s="124">
        <v>1913</v>
      </c>
      <c r="J27" s="124">
        <v>767</v>
      </c>
      <c r="K27" s="124">
        <v>1813</v>
      </c>
      <c r="L27" s="124">
        <v>45</v>
      </c>
      <c r="M27" s="124">
        <v>176</v>
      </c>
      <c r="N27" s="126">
        <v>1750</v>
      </c>
      <c r="O27" s="111">
        <f t="shared" si="0"/>
        <v>8.53765971755212</v>
      </c>
      <c r="P27" s="112">
        <f t="shared" si="1"/>
        <v>9.05566778900219</v>
      </c>
      <c r="Q27" s="113">
        <f t="shared" si="2"/>
        <v>0.45278338945011</v>
      </c>
    </row>
    <row r="28" ht="17" customHeight="1" spans="1:17">
      <c r="A28" s="124">
        <v>26</v>
      </c>
      <c r="B28" s="125" t="s">
        <v>33</v>
      </c>
      <c r="C28" s="124">
        <v>3930</v>
      </c>
      <c r="D28" s="124">
        <v>3372</v>
      </c>
      <c r="E28" s="124">
        <v>4951</v>
      </c>
      <c r="F28" s="124">
        <v>307</v>
      </c>
      <c r="G28" s="124">
        <v>8086</v>
      </c>
      <c r="H28" s="124">
        <v>10810</v>
      </c>
      <c r="I28" s="124">
        <v>3047</v>
      </c>
      <c r="J28" s="124">
        <v>548</v>
      </c>
      <c r="K28" s="124">
        <v>2419</v>
      </c>
      <c r="L28" s="124">
        <v>66</v>
      </c>
      <c r="M28" s="124">
        <v>647</v>
      </c>
      <c r="N28" s="126">
        <v>2526</v>
      </c>
      <c r="O28" s="111">
        <f t="shared" si="0"/>
        <v>9.35852417302799</v>
      </c>
      <c r="P28" s="112">
        <f t="shared" si="1"/>
        <v>22.8622955476126</v>
      </c>
      <c r="Q28" s="113">
        <f t="shared" si="2"/>
        <v>1.14311477738063</v>
      </c>
    </row>
    <row r="29" ht="17" customHeight="1" spans="1:17">
      <c r="A29" s="124">
        <v>27</v>
      </c>
      <c r="B29" s="125" t="s">
        <v>32</v>
      </c>
      <c r="C29" s="124">
        <v>2135</v>
      </c>
      <c r="D29" s="124">
        <v>1173</v>
      </c>
      <c r="E29" s="124">
        <v>2186</v>
      </c>
      <c r="F29" s="124">
        <v>60</v>
      </c>
      <c r="G29" s="124">
        <v>5256</v>
      </c>
      <c r="H29" s="124">
        <v>8928</v>
      </c>
      <c r="I29" s="124">
        <v>1643</v>
      </c>
      <c r="J29" s="124">
        <v>468</v>
      </c>
      <c r="K29" s="124">
        <v>1185</v>
      </c>
      <c r="L29" s="124">
        <v>102</v>
      </c>
      <c r="M29" s="124">
        <v>271</v>
      </c>
      <c r="N29" s="126">
        <v>2226</v>
      </c>
      <c r="O29" s="111">
        <f t="shared" si="0"/>
        <v>11.0060889929742</v>
      </c>
      <c r="P29" s="112">
        <f t="shared" si="1"/>
        <v>50.5737088332479</v>
      </c>
      <c r="Q29" s="113">
        <f t="shared" si="2"/>
        <v>2.52868544166239</v>
      </c>
    </row>
    <row r="30" ht="17" customHeight="1" spans="1:17">
      <c r="A30" s="124">
        <v>28</v>
      </c>
      <c r="B30" s="125" t="s">
        <v>27</v>
      </c>
      <c r="C30" s="124">
        <v>2860</v>
      </c>
      <c r="D30" s="124">
        <v>1592</v>
      </c>
      <c r="E30" s="124">
        <v>2259</v>
      </c>
      <c r="F30" s="124">
        <v>153</v>
      </c>
      <c r="G30" s="124">
        <v>6910</v>
      </c>
      <c r="H30" s="124">
        <v>12186</v>
      </c>
      <c r="I30" s="124">
        <v>2202</v>
      </c>
      <c r="J30" s="124">
        <v>639</v>
      </c>
      <c r="K30" s="124">
        <v>1746</v>
      </c>
      <c r="L30" s="124">
        <v>87</v>
      </c>
      <c r="M30" s="124">
        <v>304</v>
      </c>
      <c r="N30" s="126">
        <v>2725</v>
      </c>
      <c r="O30" s="111">
        <f t="shared" si="0"/>
        <v>10.7702797202797</v>
      </c>
      <c r="P30" s="112">
        <f t="shared" si="1"/>
        <v>46.6074866044703</v>
      </c>
      <c r="Q30" s="113">
        <f t="shared" si="2"/>
        <v>2.33037433022351</v>
      </c>
    </row>
    <row r="31" ht="17" customHeight="1" spans="1:17">
      <c r="A31" s="127" t="s">
        <v>40</v>
      </c>
      <c r="B31" s="127"/>
      <c r="C31" s="128">
        <f t="shared" ref="C31:N31" si="3">SUM(C3:C30)</f>
        <v>90309</v>
      </c>
      <c r="D31" s="128">
        <f t="shared" si="3"/>
        <v>61196</v>
      </c>
      <c r="E31" s="128">
        <f t="shared" si="3"/>
        <v>91380</v>
      </c>
      <c r="F31" s="128">
        <f t="shared" si="3"/>
        <v>5770</v>
      </c>
      <c r="G31" s="128">
        <f t="shared" si="3"/>
        <v>200101</v>
      </c>
      <c r="H31" s="128">
        <f t="shared" si="3"/>
        <v>336369</v>
      </c>
      <c r="I31" s="128">
        <f t="shared" si="3"/>
        <v>67111</v>
      </c>
      <c r="J31" s="128">
        <f t="shared" si="3"/>
        <v>21213</v>
      </c>
      <c r="K31" s="128">
        <f t="shared" si="3"/>
        <v>54594</v>
      </c>
      <c r="L31" s="128">
        <f t="shared" si="3"/>
        <v>3411</v>
      </c>
      <c r="M31" s="128">
        <f t="shared" si="3"/>
        <v>8690</v>
      </c>
      <c r="N31" s="128">
        <f t="shared" si="3"/>
        <v>73381</v>
      </c>
      <c r="O31" s="111">
        <f>IFERROR(SUM(D31:N31)/C31,0)</f>
        <v>10.2228570795823</v>
      </c>
      <c r="P31" s="112">
        <f>(O31-MIN($O$3:$O$30))*100/(MAX($O$3:$O$30)-MIN($O$3:$O$30))</f>
        <v>37.4000461113096</v>
      </c>
      <c r="Q31" s="113">
        <f t="shared" si="2"/>
        <v>1.87000230556548</v>
      </c>
    </row>
  </sheetData>
  <mergeCells count="2">
    <mergeCell ref="A1:Q1"/>
    <mergeCell ref="A31:B31"/>
  </mergeCells>
  <pageMargins left="0.472222222222222" right="0.314583333333333" top="0.511805555555556" bottom="0.511805555555556" header="0.314583333333333" footer="0.354166666666667"/>
  <pageSetup paperSize="1" scale="98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opLeftCell="A2" workbookViewId="0">
      <selection activeCell="N28" sqref="N28"/>
    </sheetView>
  </sheetViews>
  <sheetFormatPr defaultColWidth="9.14285714285714" defaultRowHeight="15"/>
  <cols>
    <col min="1" max="1" width="5.57142857142857" customWidth="1"/>
    <col min="2" max="2" width="26.6" style="68" customWidth="1"/>
    <col min="3" max="3" width="6.14285714285714" customWidth="1"/>
    <col min="4" max="4" width="5.42857142857143" customWidth="1"/>
    <col min="5" max="5" width="5.14285714285714" customWidth="1"/>
    <col min="6" max="6" width="4.85714285714286" customWidth="1"/>
    <col min="7" max="7" width="5.85714285714286" customWidth="1"/>
    <col min="8" max="8" width="7.39047619047619" customWidth="1"/>
    <col min="9" max="9" width="8.04761904761905" customWidth="1"/>
    <col min="10" max="10" width="7.71428571428571" customWidth="1"/>
    <col min="11" max="11" width="9.71428571428571" customWidth="1"/>
    <col min="12" max="12" width="5.57142857142857" customWidth="1"/>
    <col min="13" max="13" width="8.71428571428571" style="25" customWidth="1"/>
    <col min="14" max="14" width="9.42857142857143" style="25" customWidth="1"/>
    <col min="15" max="15" width="8" style="25" customWidth="1"/>
  </cols>
  <sheetData>
    <row r="1" ht="23" customHeight="1" spans="1:15">
      <c r="A1" s="71" t="s">
        <v>57</v>
      </c>
      <c r="B1" s="108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="67" customFormat="1" ht="45" spans="1:15">
      <c r="A2" s="74" t="s">
        <v>42</v>
      </c>
      <c r="B2" s="105" t="s">
        <v>43</v>
      </c>
      <c r="C2" s="74" t="s">
        <v>44</v>
      </c>
      <c r="D2" s="74" t="s">
        <v>45</v>
      </c>
      <c r="E2" s="74" t="s">
        <v>46</v>
      </c>
      <c r="F2" s="74" t="s">
        <v>47</v>
      </c>
      <c r="G2" s="74" t="s">
        <v>48</v>
      </c>
      <c r="H2" s="74" t="s">
        <v>49</v>
      </c>
      <c r="I2" s="74" t="s">
        <v>50</v>
      </c>
      <c r="J2" s="74" t="s">
        <v>51</v>
      </c>
      <c r="K2" s="74" t="s">
        <v>52</v>
      </c>
      <c r="L2" s="74" t="s">
        <v>55</v>
      </c>
      <c r="M2" s="118" t="s">
        <v>58</v>
      </c>
      <c r="N2" s="110" t="s">
        <v>5</v>
      </c>
      <c r="O2" s="119" t="s">
        <v>6</v>
      </c>
    </row>
    <row r="3" ht="17" customHeight="1" spans="1:15">
      <c r="A3" s="78">
        <v>1</v>
      </c>
      <c r="B3" s="105" t="s">
        <v>11</v>
      </c>
      <c r="C3" s="78">
        <v>9</v>
      </c>
      <c r="D3" s="78">
        <v>15</v>
      </c>
      <c r="E3" s="78">
        <v>0</v>
      </c>
      <c r="F3" s="78">
        <v>0</v>
      </c>
      <c r="G3" s="78">
        <v>15</v>
      </c>
      <c r="H3" s="78">
        <v>29</v>
      </c>
      <c r="I3" s="78">
        <v>2</v>
      </c>
      <c r="J3" s="78">
        <v>0</v>
      </c>
      <c r="K3" s="78">
        <v>0</v>
      </c>
      <c r="L3" s="78">
        <v>7</v>
      </c>
      <c r="M3" s="111">
        <f>IFERROR(SUM(D3:L3)/C3,0)</f>
        <v>7.55555555555556</v>
      </c>
      <c r="N3" s="112">
        <f>(M3-MIN($M$3:$M$30))*100/(MAX($M$3:$M$30)-MIN($M$3:$M$30))</f>
        <v>11.1111111111111</v>
      </c>
      <c r="O3" s="113">
        <f>5/100*N3</f>
        <v>0.555555555555556</v>
      </c>
    </row>
    <row r="4" ht="17" customHeight="1" spans="1:15">
      <c r="A4" s="78">
        <v>2</v>
      </c>
      <c r="B4" s="105" t="s">
        <v>20</v>
      </c>
      <c r="C4" s="78">
        <v>2</v>
      </c>
      <c r="D4" s="78">
        <v>3</v>
      </c>
      <c r="E4" s="78">
        <v>0</v>
      </c>
      <c r="F4" s="78">
        <v>1</v>
      </c>
      <c r="G4" s="78">
        <v>24</v>
      </c>
      <c r="H4" s="78">
        <v>74</v>
      </c>
      <c r="I4" s="78">
        <v>6</v>
      </c>
      <c r="J4" s="78">
        <v>0</v>
      </c>
      <c r="K4" s="78">
        <v>2</v>
      </c>
      <c r="L4" s="78">
        <v>26</v>
      </c>
      <c r="M4" s="111">
        <f t="shared" ref="M4:M31" si="0">IFERROR(SUM(D4:L4)/C4,0)</f>
        <v>68</v>
      </c>
      <c r="N4" s="112">
        <f t="shared" ref="N4:N31" si="1">(M4-MIN($M$3:$M$30))*100/(MAX($M$3:$M$30)-MIN($M$3:$M$30))</f>
        <v>100</v>
      </c>
      <c r="O4" s="113">
        <f t="shared" ref="O4:O31" si="2">5/100*N4</f>
        <v>5</v>
      </c>
    </row>
    <row r="5" ht="17" customHeight="1" spans="1:15">
      <c r="A5" s="78">
        <v>3</v>
      </c>
      <c r="B5" s="105" t="s">
        <v>10</v>
      </c>
      <c r="C5" s="78">
        <v>4</v>
      </c>
      <c r="D5" s="78">
        <v>10</v>
      </c>
      <c r="E5" s="78">
        <v>3</v>
      </c>
      <c r="F5" s="78">
        <v>0</v>
      </c>
      <c r="G5" s="78">
        <v>19</v>
      </c>
      <c r="H5" s="78">
        <v>37</v>
      </c>
      <c r="I5" s="78">
        <v>5</v>
      </c>
      <c r="J5" s="78">
        <v>0</v>
      </c>
      <c r="K5" s="78">
        <v>12</v>
      </c>
      <c r="L5" s="78">
        <v>5</v>
      </c>
      <c r="M5" s="111">
        <f t="shared" si="0"/>
        <v>22.75</v>
      </c>
      <c r="N5" s="112">
        <f t="shared" si="1"/>
        <v>33.4558823529412</v>
      </c>
      <c r="O5" s="113">
        <f t="shared" si="2"/>
        <v>1.67279411764706</v>
      </c>
    </row>
    <row r="6" ht="17" customHeight="1" spans="1:15">
      <c r="A6" s="78">
        <v>4</v>
      </c>
      <c r="B6" s="105" t="s">
        <v>8</v>
      </c>
      <c r="C6" s="78">
        <v>3</v>
      </c>
      <c r="D6" s="78">
        <v>7</v>
      </c>
      <c r="E6" s="78">
        <v>2</v>
      </c>
      <c r="F6" s="78">
        <v>0</v>
      </c>
      <c r="G6" s="78">
        <v>41</v>
      </c>
      <c r="H6" s="78">
        <v>61</v>
      </c>
      <c r="I6" s="78">
        <v>3</v>
      </c>
      <c r="J6" s="78">
        <v>0</v>
      </c>
      <c r="K6" s="78">
        <v>2</v>
      </c>
      <c r="L6" s="78">
        <v>4</v>
      </c>
      <c r="M6" s="111">
        <f t="shared" si="0"/>
        <v>40</v>
      </c>
      <c r="N6" s="112">
        <f t="shared" si="1"/>
        <v>58.8235294117647</v>
      </c>
      <c r="O6" s="113">
        <f t="shared" si="2"/>
        <v>2.94117647058824</v>
      </c>
    </row>
    <row r="7" ht="17" customHeight="1" spans="1:15">
      <c r="A7" s="78">
        <v>5</v>
      </c>
      <c r="B7" s="105" t="s">
        <v>7</v>
      </c>
      <c r="C7" s="78">
        <v>10</v>
      </c>
      <c r="D7" s="78">
        <v>16</v>
      </c>
      <c r="E7" s="78">
        <v>3</v>
      </c>
      <c r="F7" s="78">
        <v>4</v>
      </c>
      <c r="G7" s="78">
        <v>193</v>
      </c>
      <c r="H7" s="78">
        <v>220</v>
      </c>
      <c r="I7" s="78">
        <v>26</v>
      </c>
      <c r="J7" s="78">
        <v>1</v>
      </c>
      <c r="K7" s="78">
        <v>0</v>
      </c>
      <c r="L7" s="78">
        <v>61</v>
      </c>
      <c r="M7" s="111">
        <f t="shared" si="0"/>
        <v>52.4</v>
      </c>
      <c r="N7" s="112">
        <f t="shared" si="1"/>
        <v>77.0588235294118</v>
      </c>
      <c r="O7" s="113">
        <f t="shared" si="2"/>
        <v>3.85294117647059</v>
      </c>
    </row>
    <row r="8" ht="17" customHeight="1" spans="1:15">
      <c r="A8" s="78">
        <v>6</v>
      </c>
      <c r="B8" s="105" t="s">
        <v>21</v>
      </c>
      <c r="C8" s="78">
        <v>3</v>
      </c>
      <c r="D8" s="78">
        <v>3</v>
      </c>
      <c r="E8" s="78">
        <v>0</v>
      </c>
      <c r="F8" s="78">
        <v>0</v>
      </c>
      <c r="G8" s="78">
        <v>5</v>
      </c>
      <c r="H8" s="78">
        <v>12</v>
      </c>
      <c r="I8" s="78">
        <v>1</v>
      </c>
      <c r="J8" s="78">
        <v>0</v>
      </c>
      <c r="K8" s="78">
        <v>0</v>
      </c>
      <c r="L8" s="78">
        <v>3</v>
      </c>
      <c r="M8" s="111">
        <f t="shared" si="0"/>
        <v>8</v>
      </c>
      <c r="N8" s="112">
        <f t="shared" si="1"/>
        <v>11.7647058823529</v>
      </c>
      <c r="O8" s="113">
        <f t="shared" si="2"/>
        <v>0.588235294117647</v>
      </c>
    </row>
    <row r="9" ht="17" customHeight="1" spans="1:15">
      <c r="A9" s="78">
        <v>7</v>
      </c>
      <c r="B9" s="105" t="s">
        <v>9</v>
      </c>
      <c r="C9" s="78">
        <v>3</v>
      </c>
      <c r="D9" s="78">
        <v>5</v>
      </c>
      <c r="E9" s="78">
        <v>0</v>
      </c>
      <c r="F9" s="78">
        <v>0</v>
      </c>
      <c r="G9" s="78">
        <v>10</v>
      </c>
      <c r="H9" s="78">
        <v>22</v>
      </c>
      <c r="I9" s="78">
        <v>3</v>
      </c>
      <c r="J9" s="78">
        <v>3</v>
      </c>
      <c r="K9" s="78">
        <v>0</v>
      </c>
      <c r="L9" s="78">
        <v>3</v>
      </c>
      <c r="M9" s="111">
        <f t="shared" si="0"/>
        <v>15.3333333333333</v>
      </c>
      <c r="N9" s="112">
        <f t="shared" si="1"/>
        <v>22.5490196078431</v>
      </c>
      <c r="O9" s="113">
        <f t="shared" si="2"/>
        <v>1.12745098039216</v>
      </c>
    </row>
    <row r="10" ht="17" customHeight="1" spans="1:15">
      <c r="A10" s="78">
        <v>8</v>
      </c>
      <c r="B10" s="105" t="s">
        <v>18</v>
      </c>
      <c r="C10" s="78">
        <v>1</v>
      </c>
      <c r="D10" s="78">
        <v>1</v>
      </c>
      <c r="E10" s="78">
        <v>0</v>
      </c>
      <c r="F10" s="78">
        <v>0</v>
      </c>
      <c r="G10" s="78">
        <v>10</v>
      </c>
      <c r="H10" s="78">
        <v>16</v>
      </c>
      <c r="I10" s="78">
        <v>1</v>
      </c>
      <c r="J10" s="78">
        <v>0</v>
      </c>
      <c r="K10" s="78">
        <v>0</v>
      </c>
      <c r="L10" s="78">
        <v>2</v>
      </c>
      <c r="M10" s="111">
        <f t="shared" si="0"/>
        <v>30</v>
      </c>
      <c r="N10" s="112">
        <f t="shared" si="1"/>
        <v>44.1176470588235</v>
      </c>
      <c r="O10" s="113">
        <f t="shared" si="2"/>
        <v>2.20588235294118</v>
      </c>
    </row>
    <row r="11" ht="17" customHeight="1" spans="1:15">
      <c r="A11" s="78">
        <v>9</v>
      </c>
      <c r="B11" s="105" t="s">
        <v>16</v>
      </c>
      <c r="C11" s="78">
        <v>4</v>
      </c>
      <c r="D11" s="78">
        <v>4</v>
      </c>
      <c r="E11" s="78">
        <v>0</v>
      </c>
      <c r="F11" s="78">
        <v>0</v>
      </c>
      <c r="G11" s="78">
        <v>18</v>
      </c>
      <c r="H11" s="78">
        <v>33</v>
      </c>
      <c r="I11" s="78">
        <v>3</v>
      </c>
      <c r="J11" s="78">
        <v>0</v>
      </c>
      <c r="K11" s="78">
        <v>0</v>
      </c>
      <c r="L11" s="78">
        <v>14</v>
      </c>
      <c r="M11" s="111">
        <f t="shared" si="0"/>
        <v>18</v>
      </c>
      <c r="N11" s="112">
        <f t="shared" si="1"/>
        <v>26.4705882352941</v>
      </c>
      <c r="O11" s="113">
        <f t="shared" si="2"/>
        <v>1.32352941176471</v>
      </c>
    </row>
    <row r="12" ht="17" customHeight="1" spans="1:15">
      <c r="A12" s="78">
        <v>10</v>
      </c>
      <c r="B12" s="105" t="s">
        <v>13</v>
      </c>
      <c r="C12" s="78">
        <v>2</v>
      </c>
      <c r="D12" s="78">
        <v>4</v>
      </c>
      <c r="E12" s="78">
        <v>0</v>
      </c>
      <c r="F12" s="78">
        <v>0</v>
      </c>
      <c r="G12" s="78">
        <v>19</v>
      </c>
      <c r="H12" s="78">
        <v>11</v>
      </c>
      <c r="I12" s="78">
        <v>2</v>
      </c>
      <c r="J12" s="78">
        <v>1</v>
      </c>
      <c r="K12" s="78">
        <v>0</v>
      </c>
      <c r="L12" s="78">
        <v>1</v>
      </c>
      <c r="M12" s="111">
        <f t="shared" si="0"/>
        <v>19</v>
      </c>
      <c r="N12" s="112">
        <f t="shared" si="1"/>
        <v>27.9411764705882</v>
      </c>
      <c r="O12" s="113">
        <f t="shared" si="2"/>
        <v>1.39705882352941</v>
      </c>
    </row>
    <row r="13" ht="17" customHeight="1" spans="1:15">
      <c r="A13" s="78">
        <v>11</v>
      </c>
      <c r="B13" s="105" t="s">
        <v>12</v>
      </c>
      <c r="C13" s="78">
        <v>1</v>
      </c>
      <c r="D13" s="78">
        <v>4</v>
      </c>
      <c r="E13" s="78">
        <v>0</v>
      </c>
      <c r="F13" s="78">
        <v>0</v>
      </c>
      <c r="G13" s="78">
        <v>14</v>
      </c>
      <c r="H13" s="78">
        <v>24</v>
      </c>
      <c r="I13" s="78">
        <v>3</v>
      </c>
      <c r="J13" s="78">
        <v>0</v>
      </c>
      <c r="K13" s="78">
        <v>0</v>
      </c>
      <c r="L13" s="78">
        <v>18</v>
      </c>
      <c r="M13" s="111">
        <f t="shared" si="0"/>
        <v>63</v>
      </c>
      <c r="N13" s="112">
        <f t="shared" si="1"/>
        <v>92.6470588235294</v>
      </c>
      <c r="O13" s="113">
        <f t="shared" si="2"/>
        <v>4.63235294117647</v>
      </c>
    </row>
    <row r="14" ht="17" customHeight="1" spans="1:15">
      <c r="A14" s="78">
        <v>12</v>
      </c>
      <c r="B14" s="105" t="s">
        <v>15</v>
      </c>
      <c r="C14" s="78">
        <v>2</v>
      </c>
      <c r="D14" s="78">
        <v>2</v>
      </c>
      <c r="E14" s="78">
        <v>0</v>
      </c>
      <c r="F14" s="78">
        <v>0</v>
      </c>
      <c r="G14" s="78">
        <v>16</v>
      </c>
      <c r="H14" s="78">
        <v>32</v>
      </c>
      <c r="I14" s="78">
        <v>3</v>
      </c>
      <c r="J14" s="78">
        <v>0</v>
      </c>
      <c r="K14" s="78">
        <v>0</v>
      </c>
      <c r="L14" s="78">
        <v>10</v>
      </c>
      <c r="M14" s="111">
        <f t="shared" si="0"/>
        <v>31.5</v>
      </c>
      <c r="N14" s="112">
        <f t="shared" si="1"/>
        <v>46.3235294117647</v>
      </c>
      <c r="O14" s="113">
        <f t="shared" si="2"/>
        <v>2.31617647058823</v>
      </c>
    </row>
    <row r="15" ht="17" customHeight="1" spans="1:15">
      <c r="A15" s="78">
        <v>13</v>
      </c>
      <c r="B15" s="105" t="s">
        <v>14</v>
      </c>
      <c r="C15" s="78">
        <v>0</v>
      </c>
      <c r="D15" s="78">
        <v>2</v>
      </c>
      <c r="E15" s="78">
        <v>0</v>
      </c>
      <c r="F15" s="78">
        <v>0</v>
      </c>
      <c r="G15" s="78">
        <v>11</v>
      </c>
      <c r="H15" s="78">
        <v>13</v>
      </c>
      <c r="I15" s="78">
        <v>2</v>
      </c>
      <c r="J15" s="78">
        <v>0</v>
      </c>
      <c r="K15" s="78">
        <v>0</v>
      </c>
      <c r="L15" s="78">
        <v>1</v>
      </c>
      <c r="M15" s="111">
        <f t="shared" si="0"/>
        <v>0</v>
      </c>
      <c r="N15" s="112">
        <f t="shared" si="1"/>
        <v>0</v>
      </c>
      <c r="O15" s="113">
        <f t="shared" si="2"/>
        <v>0</v>
      </c>
    </row>
    <row r="16" ht="17" customHeight="1" spans="1:15">
      <c r="A16" s="78">
        <v>14</v>
      </c>
      <c r="B16" s="105" t="s">
        <v>19</v>
      </c>
      <c r="C16" s="78">
        <v>1</v>
      </c>
      <c r="D16" s="78">
        <v>1</v>
      </c>
      <c r="E16" s="78">
        <v>0</v>
      </c>
      <c r="F16" s="78">
        <v>0</v>
      </c>
      <c r="G16" s="78">
        <v>13</v>
      </c>
      <c r="H16" s="78">
        <v>10</v>
      </c>
      <c r="I16" s="78">
        <v>2</v>
      </c>
      <c r="J16" s="78">
        <v>2</v>
      </c>
      <c r="K16" s="78">
        <v>0</v>
      </c>
      <c r="L16" s="78">
        <v>0</v>
      </c>
      <c r="M16" s="111">
        <f t="shared" si="0"/>
        <v>28</v>
      </c>
      <c r="N16" s="112">
        <f t="shared" si="1"/>
        <v>41.1764705882353</v>
      </c>
      <c r="O16" s="113">
        <f t="shared" si="2"/>
        <v>2.05882352941176</v>
      </c>
    </row>
    <row r="17" ht="17" customHeight="1" spans="1:15">
      <c r="A17" s="78">
        <v>15</v>
      </c>
      <c r="B17" s="105" t="s">
        <v>17</v>
      </c>
      <c r="C17" s="78">
        <v>3</v>
      </c>
      <c r="D17" s="78">
        <v>5</v>
      </c>
      <c r="E17" s="78">
        <v>0</v>
      </c>
      <c r="F17" s="78">
        <v>0</v>
      </c>
      <c r="G17" s="78">
        <v>5</v>
      </c>
      <c r="H17" s="78">
        <v>6</v>
      </c>
      <c r="I17" s="78">
        <v>0</v>
      </c>
      <c r="J17" s="78">
        <v>0</v>
      </c>
      <c r="K17" s="78">
        <v>0</v>
      </c>
      <c r="L17" s="78">
        <v>2</v>
      </c>
      <c r="M17" s="111">
        <f t="shared" si="0"/>
        <v>6</v>
      </c>
      <c r="N17" s="112">
        <f t="shared" si="1"/>
        <v>8.82352941176471</v>
      </c>
      <c r="O17" s="113">
        <f t="shared" si="2"/>
        <v>0.441176470588235</v>
      </c>
    </row>
    <row r="18" ht="17" customHeight="1" spans="1:15">
      <c r="A18" s="78">
        <v>16</v>
      </c>
      <c r="B18" s="105" t="s">
        <v>22</v>
      </c>
      <c r="C18" s="78">
        <v>6</v>
      </c>
      <c r="D18" s="78">
        <v>10</v>
      </c>
      <c r="E18" s="78">
        <v>0</v>
      </c>
      <c r="F18" s="78">
        <v>0</v>
      </c>
      <c r="G18" s="78">
        <v>50</v>
      </c>
      <c r="H18" s="78">
        <v>55</v>
      </c>
      <c r="I18" s="78">
        <v>6</v>
      </c>
      <c r="J18" s="78">
        <v>3</v>
      </c>
      <c r="K18" s="78">
        <v>0</v>
      </c>
      <c r="L18" s="78">
        <v>2</v>
      </c>
      <c r="M18" s="111">
        <f t="shared" si="0"/>
        <v>21</v>
      </c>
      <c r="N18" s="112">
        <f t="shared" si="1"/>
        <v>30.8823529411765</v>
      </c>
      <c r="O18" s="113">
        <f t="shared" si="2"/>
        <v>1.54411764705882</v>
      </c>
    </row>
    <row r="19" ht="17" customHeight="1" spans="1:15">
      <c r="A19" s="78">
        <v>17</v>
      </c>
      <c r="B19" s="105" t="s">
        <v>26</v>
      </c>
      <c r="C19" s="78">
        <v>7</v>
      </c>
      <c r="D19" s="78">
        <v>7</v>
      </c>
      <c r="E19" s="78">
        <v>1</v>
      </c>
      <c r="F19" s="78">
        <v>0</v>
      </c>
      <c r="G19" s="78">
        <v>23</v>
      </c>
      <c r="H19" s="78">
        <v>25</v>
      </c>
      <c r="I19" s="78">
        <v>2</v>
      </c>
      <c r="J19" s="78">
        <v>1</v>
      </c>
      <c r="K19" s="78">
        <v>0</v>
      </c>
      <c r="L19" s="78">
        <v>7</v>
      </c>
      <c r="M19" s="111">
        <f t="shared" si="0"/>
        <v>9.42857142857143</v>
      </c>
      <c r="N19" s="112">
        <f t="shared" si="1"/>
        <v>13.8655462184874</v>
      </c>
      <c r="O19" s="113">
        <f t="shared" si="2"/>
        <v>0.69327731092437</v>
      </c>
    </row>
    <row r="20" ht="17" customHeight="1" spans="1:15">
      <c r="A20" s="78">
        <v>18</v>
      </c>
      <c r="B20" s="105" t="s">
        <v>29</v>
      </c>
      <c r="C20" s="78">
        <v>8</v>
      </c>
      <c r="D20" s="78">
        <v>9</v>
      </c>
      <c r="E20" s="78">
        <v>0</v>
      </c>
      <c r="F20" s="78">
        <v>0</v>
      </c>
      <c r="G20" s="78">
        <v>33</v>
      </c>
      <c r="H20" s="78">
        <v>90</v>
      </c>
      <c r="I20" s="78">
        <v>29</v>
      </c>
      <c r="J20" s="78">
        <v>0</v>
      </c>
      <c r="K20" s="78">
        <v>24</v>
      </c>
      <c r="L20" s="78">
        <v>10</v>
      </c>
      <c r="M20" s="111">
        <f t="shared" si="0"/>
        <v>24.375</v>
      </c>
      <c r="N20" s="112">
        <f t="shared" si="1"/>
        <v>35.8455882352941</v>
      </c>
      <c r="O20" s="113">
        <f t="shared" si="2"/>
        <v>1.79227941176471</v>
      </c>
    </row>
    <row r="21" ht="17" customHeight="1" spans="1:15">
      <c r="A21" s="78">
        <v>19</v>
      </c>
      <c r="B21" s="105" t="s">
        <v>23</v>
      </c>
      <c r="C21" s="78">
        <v>15</v>
      </c>
      <c r="D21" s="78">
        <v>15</v>
      </c>
      <c r="E21" s="78">
        <v>0</v>
      </c>
      <c r="F21" s="78">
        <v>0</v>
      </c>
      <c r="G21" s="78">
        <v>34</v>
      </c>
      <c r="H21" s="78">
        <v>43</v>
      </c>
      <c r="I21" s="78">
        <v>10</v>
      </c>
      <c r="J21" s="78">
        <v>1</v>
      </c>
      <c r="K21" s="78">
        <v>15</v>
      </c>
      <c r="L21" s="78">
        <v>26</v>
      </c>
      <c r="M21" s="111">
        <f t="shared" si="0"/>
        <v>9.6</v>
      </c>
      <c r="N21" s="112">
        <f t="shared" si="1"/>
        <v>14.1176470588235</v>
      </c>
      <c r="O21" s="113">
        <f t="shared" si="2"/>
        <v>0.705882352941177</v>
      </c>
    </row>
    <row r="22" ht="17" customHeight="1" spans="1:15">
      <c r="A22" s="78">
        <v>20</v>
      </c>
      <c r="B22" s="105" t="s">
        <v>30</v>
      </c>
      <c r="C22" s="78">
        <v>4</v>
      </c>
      <c r="D22" s="78">
        <v>4</v>
      </c>
      <c r="E22" s="78">
        <v>1</v>
      </c>
      <c r="F22" s="78">
        <v>0</v>
      </c>
      <c r="G22" s="78">
        <v>17</v>
      </c>
      <c r="H22" s="78">
        <v>23</v>
      </c>
      <c r="I22" s="78">
        <v>3</v>
      </c>
      <c r="J22" s="78">
        <v>2</v>
      </c>
      <c r="K22" s="78">
        <v>0</v>
      </c>
      <c r="L22" s="78">
        <v>1</v>
      </c>
      <c r="M22" s="111">
        <f t="shared" si="0"/>
        <v>12.75</v>
      </c>
      <c r="N22" s="112">
        <f t="shared" si="1"/>
        <v>18.75</v>
      </c>
      <c r="O22" s="113">
        <f t="shared" si="2"/>
        <v>0.9375</v>
      </c>
    </row>
    <row r="23" ht="17" customHeight="1" spans="1:15">
      <c r="A23" s="78">
        <v>21</v>
      </c>
      <c r="B23" s="105" t="s">
        <v>25</v>
      </c>
      <c r="C23" s="78">
        <v>6</v>
      </c>
      <c r="D23" s="78">
        <v>6</v>
      </c>
      <c r="E23" s="78">
        <v>0</v>
      </c>
      <c r="F23" s="78">
        <v>0</v>
      </c>
      <c r="G23" s="78">
        <v>12</v>
      </c>
      <c r="H23" s="78">
        <v>19</v>
      </c>
      <c r="I23" s="78">
        <v>0</v>
      </c>
      <c r="J23" s="78">
        <v>0</v>
      </c>
      <c r="K23" s="78">
        <v>2</v>
      </c>
      <c r="L23" s="78">
        <v>5</v>
      </c>
      <c r="M23" s="111">
        <f t="shared" si="0"/>
        <v>7.33333333333333</v>
      </c>
      <c r="N23" s="112">
        <f t="shared" si="1"/>
        <v>10.7843137254902</v>
      </c>
      <c r="O23" s="113">
        <f t="shared" si="2"/>
        <v>0.53921568627451</v>
      </c>
    </row>
    <row r="24" ht="17" customHeight="1" spans="1:15">
      <c r="A24" s="78">
        <v>22</v>
      </c>
      <c r="B24" s="105" t="s">
        <v>31</v>
      </c>
      <c r="C24" s="78">
        <v>4</v>
      </c>
      <c r="D24" s="78">
        <v>4</v>
      </c>
      <c r="E24" s="78">
        <v>0</v>
      </c>
      <c r="F24" s="78">
        <v>0</v>
      </c>
      <c r="G24" s="78">
        <v>10</v>
      </c>
      <c r="H24" s="78">
        <v>18</v>
      </c>
      <c r="I24" s="78">
        <v>3</v>
      </c>
      <c r="J24" s="78">
        <v>1</v>
      </c>
      <c r="K24" s="78">
        <v>0</v>
      </c>
      <c r="L24" s="78">
        <v>11</v>
      </c>
      <c r="M24" s="111">
        <f t="shared" si="0"/>
        <v>11.75</v>
      </c>
      <c r="N24" s="112">
        <f t="shared" si="1"/>
        <v>17.2794117647059</v>
      </c>
      <c r="O24" s="113">
        <f t="shared" si="2"/>
        <v>0.863970588235294</v>
      </c>
    </row>
    <row r="25" ht="17" customHeight="1" spans="1:15">
      <c r="A25" s="78">
        <v>23</v>
      </c>
      <c r="B25" s="105" t="s">
        <v>24</v>
      </c>
      <c r="C25" s="78">
        <v>3</v>
      </c>
      <c r="D25" s="78">
        <v>3</v>
      </c>
      <c r="E25" s="78">
        <v>0</v>
      </c>
      <c r="F25" s="78">
        <v>0</v>
      </c>
      <c r="G25" s="78">
        <v>5</v>
      </c>
      <c r="H25" s="78">
        <v>13</v>
      </c>
      <c r="I25" s="78">
        <v>1</v>
      </c>
      <c r="J25" s="78">
        <v>0</v>
      </c>
      <c r="K25" s="78">
        <v>1</v>
      </c>
      <c r="L25" s="78">
        <v>6</v>
      </c>
      <c r="M25" s="111">
        <f t="shared" si="0"/>
        <v>9.66666666666667</v>
      </c>
      <c r="N25" s="112">
        <f t="shared" si="1"/>
        <v>14.2156862745098</v>
      </c>
      <c r="O25" s="113">
        <f t="shared" si="2"/>
        <v>0.71078431372549</v>
      </c>
    </row>
    <row r="26" ht="17" customHeight="1" spans="1:15">
      <c r="A26" s="78">
        <v>24</v>
      </c>
      <c r="B26" s="105" t="s">
        <v>28</v>
      </c>
      <c r="C26" s="78">
        <v>1</v>
      </c>
      <c r="D26" s="78">
        <v>1</v>
      </c>
      <c r="E26" s="78">
        <v>0</v>
      </c>
      <c r="F26" s="78">
        <v>0</v>
      </c>
      <c r="G26" s="78">
        <v>4</v>
      </c>
      <c r="H26" s="78">
        <v>2</v>
      </c>
      <c r="I26" s="78">
        <v>0</v>
      </c>
      <c r="J26" s="78">
        <v>0</v>
      </c>
      <c r="K26" s="78">
        <v>0</v>
      </c>
      <c r="L26" s="78">
        <v>0</v>
      </c>
      <c r="M26" s="111">
        <f t="shared" si="0"/>
        <v>7</v>
      </c>
      <c r="N26" s="112">
        <f t="shared" si="1"/>
        <v>10.2941176470588</v>
      </c>
      <c r="O26" s="113">
        <f t="shared" si="2"/>
        <v>0.514705882352941</v>
      </c>
    </row>
    <row r="27" ht="17" customHeight="1" spans="1:15">
      <c r="A27" s="78">
        <v>25</v>
      </c>
      <c r="B27" s="105" t="s">
        <v>34</v>
      </c>
      <c r="C27" s="78">
        <v>4</v>
      </c>
      <c r="D27" s="78">
        <v>4</v>
      </c>
      <c r="E27" s="78">
        <v>3</v>
      </c>
      <c r="F27" s="78">
        <v>0</v>
      </c>
      <c r="G27" s="78">
        <v>32</v>
      </c>
      <c r="H27" s="78">
        <v>39</v>
      </c>
      <c r="I27" s="78">
        <v>4</v>
      </c>
      <c r="J27" s="78">
        <v>2</v>
      </c>
      <c r="K27" s="78">
        <v>1</v>
      </c>
      <c r="L27" s="78">
        <v>34</v>
      </c>
      <c r="M27" s="111">
        <f t="shared" si="0"/>
        <v>29.75</v>
      </c>
      <c r="N27" s="112">
        <f t="shared" si="1"/>
        <v>43.75</v>
      </c>
      <c r="O27" s="113">
        <f t="shared" si="2"/>
        <v>2.1875</v>
      </c>
    </row>
    <row r="28" ht="17" customHeight="1" spans="1:15">
      <c r="A28" s="78">
        <v>26</v>
      </c>
      <c r="B28" s="105" t="s">
        <v>33</v>
      </c>
      <c r="C28" s="78">
        <v>0</v>
      </c>
      <c r="D28" s="78">
        <v>8</v>
      </c>
      <c r="E28" s="78">
        <v>0</v>
      </c>
      <c r="F28" s="78">
        <v>2</v>
      </c>
      <c r="G28" s="78">
        <v>49</v>
      </c>
      <c r="H28" s="78">
        <v>38</v>
      </c>
      <c r="I28" s="78">
        <v>4</v>
      </c>
      <c r="J28" s="78">
        <v>4</v>
      </c>
      <c r="K28" s="78">
        <v>1</v>
      </c>
      <c r="L28" s="78">
        <v>5</v>
      </c>
      <c r="M28" s="111">
        <f t="shared" si="0"/>
        <v>0</v>
      </c>
      <c r="N28" s="112">
        <f t="shared" si="1"/>
        <v>0</v>
      </c>
      <c r="O28" s="113">
        <f t="shared" si="2"/>
        <v>0</v>
      </c>
    </row>
    <row r="29" ht="17" customHeight="1" spans="1:15">
      <c r="A29" s="78">
        <v>27</v>
      </c>
      <c r="B29" s="105" t="s">
        <v>32</v>
      </c>
      <c r="C29" s="78">
        <v>1</v>
      </c>
      <c r="D29" s="78">
        <v>1</v>
      </c>
      <c r="E29" s="78">
        <v>0</v>
      </c>
      <c r="F29" s="78">
        <v>0</v>
      </c>
      <c r="G29" s="78">
        <v>4</v>
      </c>
      <c r="H29" s="78">
        <v>9</v>
      </c>
      <c r="I29" s="78">
        <v>0</v>
      </c>
      <c r="J29" s="78">
        <v>0</v>
      </c>
      <c r="K29" s="78">
        <v>0</v>
      </c>
      <c r="L29" s="78">
        <v>5</v>
      </c>
      <c r="M29" s="111">
        <f t="shared" si="0"/>
        <v>19</v>
      </c>
      <c r="N29" s="112">
        <f t="shared" si="1"/>
        <v>27.9411764705882</v>
      </c>
      <c r="O29" s="113">
        <f t="shared" si="2"/>
        <v>1.39705882352941</v>
      </c>
    </row>
    <row r="30" ht="17" customHeight="1" spans="1:15">
      <c r="A30" s="78">
        <v>28</v>
      </c>
      <c r="B30" s="105" t="s">
        <v>27</v>
      </c>
      <c r="C30" s="78">
        <v>5</v>
      </c>
      <c r="D30" s="78">
        <v>5</v>
      </c>
      <c r="E30" s="78">
        <v>0</v>
      </c>
      <c r="F30" s="78">
        <v>0</v>
      </c>
      <c r="G30" s="78">
        <v>12</v>
      </c>
      <c r="H30" s="78">
        <v>25</v>
      </c>
      <c r="I30" s="78">
        <v>6</v>
      </c>
      <c r="J30" s="78">
        <v>0</v>
      </c>
      <c r="K30" s="78">
        <v>0</v>
      </c>
      <c r="L30" s="78">
        <v>4</v>
      </c>
      <c r="M30" s="111">
        <f t="shared" si="0"/>
        <v>10.4</v>
      </c>
      <c r="N30" s="112">
        <f t="shared" si="1"/>
        <v>15.2941176470588</v>
      </c>
      <c r="O30" s="113">
        <f t="shared" si="2"/>
        <v>0.764705882352941</v>
      </c>
    </row>
    <row r="31" s="2" customFormat="1" ht="17" customHeight="1" spans="1:15">
      <c r="A31" s="120" t="s">
        <v>40</v>
      </c>
      <c r="B31" s="121"/>
      <c r="C31" s="91">
        <f t="shared" ref="C31:L31" si="3">SUM(C3:C30)</f>
        <v>112</v>
      </c>
      <c r="D31" s="91">
        <f t="shared" si="3"/>
        <v>159</v>
      </c>
      <c r="E31" s="91">
        <f t="shared" si="3"/>
        <v>13</v>
      </c>
      <c r="F31" s="91">
        <f t="shared" si="3"/>
        <v>7</v>
      </c>
      <c r="G31" s="91">
        <f t="shared" si="3"/>
        <v>698</v>
      </c>
      <c r="H31" s="91">
        <f t="shared" si="3"/>
        <v>999</v>
      </c>
      <c r="I31" s="91">
        <f t="shared" si="3"/>
        <v>130</v>
      </c>
      <c r="J31" s="91">
        <f t="shared" si="3"/>
        <v>21</v>
      </c>
      <c r="K31" s="91">
        <f t="shared" si="3"/>
        <v>60</v>
      </c>
      <c r="L31" s="91">
        <f t="shared" si="3"/>
        <v>273</v>
      </c>
      <c r="M31" s="116">
        <f t="shared" si="0"/>
        <v>21.0714285714286</v>
      </c>
      <c r="N31" s="117">
        <f t="shared" si="1"/>
        <v>30.9873949579832</v>
      </c>
      <c r="O31" s="113">
        <f t="shared" si="2"/>
        <v>1.54936974789916</v>
      </c>
    </row>
  </sheetData>
  <mergeCells count="2">
    <mergeCell ref="A1:O1"/>
    <mergeCell ref="A31:B31"/>
  </mergeCells>
  <pageMargins left="0.75" right="0.314583333333333" top="0.472222222222222" bottom="0.393055555555556" header="0.275" footer="0.236111111111111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1"/>
  <sheetViews>
    <sheetView workbookViewId="0">
      <selection activeCell="G15" sqref="G15"/>
    </sheetView>
  </sheetViews>
  <sheetFormatPr defaultColWidth="9.14285714285714" defaultRowHeight="15"/>
  <cols>
    <col min="1" max="1" width="5.57142857142857" customWidth="1"/>
    <col min="2" max="2" width="27.8571428571429" style="68" customWidth="1"/>
    <col min="3" max="3" width="7.71428571428571" customWidth="1"/>
    <col min="4" max="4" width="7.14285714285714" customWidth="1"/>
    <col min="6" max="6" width="10.8571428571429" customWidth="1"/>
    <col min="7" max="7" width="8.57142857142857" customWidth="1"/>
    <col min="8" max="8" width="6.14285714285714" customWidth="1"/>
    <col min="9" max="9" width="7.14285714285714" customWidth="1"/>
    <col min="10" max="10" width="6.71428571428571" customWidth="1"/>
    <col min="11" max="11" width="8.85714285714286" customWidth="1"/>
    <col min="12" max="12" width="8.71428571428571" style="25" customWidth="1"/>
    <col min="13" max="13" width="9.42857142857143" style="25" customWidth="1"/>
    <col min="14" max="14" width="8.14285714285714" style="25" customWidth="1"/>
  </cols>
  <sheetData>
    <row r="1" ht="23" customHeight="1" spans="1:14">
      <c r="A1" s="71" t="s">
        <v>59</v>
      </c>
      <c r="B1" s="108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="67" customFormat="1" ht="38.25" spans="1:14">
      <c r="A2" s="74" t="s">
        <v>42</v>
      </c>
      <c r="B2" s="105" t="s">
        <v>43</v>
      </c>
      <c r="C2" s="109" t="s">
        <v>60</v>
      </c>
      <c r="D2" s="109" t="s">
        <v>61</v>
      </c>
      <c r="E2" s="109" t="s">
        <v>62</v>
      </c>
      <c r="F2" s="109" t="s">
        <v>63</v>
      </c>
      <c r="G2" s="109" t="s">
        <v>64</v>
      </c>
      <c r="H2" s="109" t="s">
        <v>65</v>
      </c>
      <c r="I2" s="109" t="s">
        <v>66</v>
      </c>
      <c r="J2" s="109" t="s">
        <v>67</v>
      </c>
      <c r="K2" s="109" t="s">
        <v>68</v>
      </c>
      <c r="L2" s="109" t="s">
        <v>69</v>
      </c>
      <c r="M2" s="110" t="s">
        <v>5</v>
      </c>
      <c r="N2" s="110" t="s">
        <v>6</v>
      </c>
    </row>
    <row r="3" ht="17" customHeight="1" spans="1:14">
      <c r="A3" s="78">
        <v>1</v>
      </c>
      <c r="B3" s="105" t="s">
        <v>11</v>
      </c>
      <c r="C3" s="78">
        <v>0</v>
      </c>
      <c r="D3" s="78"/>
      <c r="E3" s="78"/>
      <c r="F3" s="78"/>
      <c r="G3" s="78"/>
      <c r="H3" s="78"/>
      <c r="I3" s="78"/>
      <c r="J3" s="78"/>
      <c r="K3" s="78"/>
      <c r="L3" s="111">
        <f>IFERROR(SUM(C3:K3),0)</f>
        <v>0</v>
      </c>
      <c r="M3" s="112">
        <f t="shared" ref="M3:M31" si="0">(L3-MIN($L$3:$L$30))*100/(MAX($L$3:$L$30)-MIN($L$3:$L$30))</f>
        <v>0</v>
      </c>
      <c r="N3" s="113">
        <f t="shared" ref="N3:N31" si="1">5/100*M3</f>
        <v>0</v>
      </c>
    </row>
    <row r="4" ht="17" customHeight="1" spans="1:14">
      <c r="A4" s="78">
        <v>2</v>
      </c>
      <c r="B4" s="105" t="s">
        <v>20</v>
      </c>
      <c r="C4" s="78">
        <v>0</v>
      </c>
      <c r="D4" s="78">
        <v>1</v>
      </c>
      <c r="E4" s="78"/>
      <c r="F4" s="78"/>
      <c r="G4" s="78"/>
      <c r="H4" s="78"/>
      <c r="I4" s="78"/>
      <c r="J4" s="78"/>
      <c r="K4" s="78"/>
      <c r="L4" s="111">
        <f t="shared" ref="L4:L31" si="2">IFERROR(SUM(C4:K4),0)</f>
        <v>1</v>
      </c>
      <c r="M4" s="112">
        <f t="shared" si="0"/>
        <v>6.66666666666667</v>
      </c>
      <c r="N4" s="113">
        <f t="shared" si="1"/>
        <v>0.333333333333333</v>
      </c>
    </row>
    <row r="5" ht="17" customHeight="1" spans="1:14">
      <c r="A5" s="78">
        <v>3</v>
      </c>
      <c r="B5" s="105" t="s">
        <v>10</v>
      </c>
      <c r="C5" s="78">
        <v>0</v>
      </c>
      <c r="D5" s="78">
        <v>1</v>
      </c>
      <c r="E5" s="78">
        <v>9</v>
      </c>
      <c r="F5" s="78"/>
      <c r="G5" s="78"/>
      <c r="H5" s="78"/>
      <c r="I5" s="78"/>
      <c r="J5" s="78"/>
      <c r="K5" s="78"/>
      <c r="L5" s="111">
        <f t="shared" si="2"/>
        <v>10</v>
      </c>
      <c r="M5" s="112">
        <f t="shared" si="0"/>
        <v>66.6666666666667</v>
      </c>
      <c r="N5" s="113">
        <f t="shared" si="1"/>
        <v>3.33333333333333</v>
      </c>
    </row>
    <row r="6" ht="17" customHeight="1" spans="1:14">
      <c r="A6" s="78">
        <v>4</v>
      </c>
      <c r="B6" s="105" t="s">
        <v>8</v>
      </c>
      <c r="C6" s="78">
        <v>0</v>
      </c>
      <c r="D6" s="78"/>
      <c r="E6" s="78"/>
      <c r="F6" s="78"/>
      <c r="G6" s="78"/>
      <c r="H6" s="78"/>
      <c r="I6" s="78"/>
      <c r="J6" s="78"/>
      <c r="K6" s="78"/>
      <c r="L6" s="111">
        <f t="shared" si="2"/>
        <v>0</v>
      </c>
      <c r="M6" s="112">
        <f t="shared" si="0"/>
        <v>0</v>
      </c>
      <c r="N6" s="113">
        <f t="shared" si="1"/>
        <v>0</v>
      </c>
    </row>
    <row r="7" ht="17" customHeight="1" spans="1:14">
      <c r="A7" s="78">
        <v>5</v>
      </c>
      <c r="B7" s="105" t="s">
        <v>7</v>
      </c>
      <c r="C7" s="78">
        <v>0</v>
      </c>
      <c r="D7" s="78"/>
      <c r="E7" s="78"/>
      <c r="F7" s="78">
        <v>1</v>
      </c>
      <c r="G7" s="78"/>
      <c r="H7" s="78"/>
      <c r="I7" s="78"/>
      <c r="J7" s="78"/>
      <c r="K7" s="78"/>
      <c r="L7" s="111">
        <f t="shared" si="2"/>
        <v>1</v>
      </c>
      <c r="M7" s="112">
        <f t="shared" si="0"/>
        <v>6.66666666666667</v>
      </c>
      <c r="N7" s="113">
        <f t="shared" si="1"/>
        <v>0.333333333333333</v>
      </c>
    </row>
    <row r="8" ht="17" customHeight="1" spans="1:14">
      <c r="A8" s="78">
        <v>6</v>
      </c>
      <c r="B8" s="105" t="s">
        <v>21</v>
      </c>
      <c r="C8" s="78">
        <v>0</v>
      </c>
      <c r="D8" s="78"/>
      <c r="E8" s="78"/>
      <c r="F8" s="78"/>
      <c r="G8" s="78"/>
      <c r="H8" s="78"/>
      <c r="I8" s="78"/>
      <c r="J8" s="78"/>
      <c r="K8" s="78"/>
      <c r="L8" s="111">
        <f t="shared" si="2"/>
        <v>0</v>
      </c>
      <c r="M8" s="112">
        <f t="shared" si="0"/>
        <v>0</v>
      </c>
      <c r="N8" s="113">
        <f t="shared" si="1"/>
        <v>0</v>
      </c>
    </row>
    <row r="9" ht="17" customHeight="1" spans="1:14">
      <c r="A9" s="78">
        <v>7</v>
      </c>
      <c r="B9" s="105" t="s">
        <v>9</v>
      </c>
      <c r="C9" s="78">
        <v>0</v>
      </c>
      <c r="D9" s="78"/>
      <c r="E9" s="78"/>
      <c r="F9" s="78"/>
      <c r="G9" s="78"/>
      <c r="H9" s="78"/>
      <c r="I9" s="78"/>
      <c r="J9" s="78"/>
      <c r="K9" s="78"/>
      <c r="L9" s="111">
        <f t="shared" si="2"/>
        <v>0</v>
      </c>
      <c r="M9" s="112">
        <f t="shared" si="0"/>
        <v>0</v>
      </c>
      <c r="N9" s="113">
        <f t="shared" si="1"/>
        <v>0</v>
      </c>
    </row>
    <row r="10" ht="17" customHeight="1" spans="1:14">
      <c r="A10" s="78">
        <v>8</v>
      </c>
      <c r="B10" s="105" t="s">
        <v>18</v>
      </c>
      <c r="C10" s="78">
        <v>0</v>
      </c>
      <c r="D10" s="78"/>
      <c r="E10" s="78"/>
      <c r="F10" s="78"/>
      <c r="G10" s="78"/>
      <c r="H10" s="78"/>
      <c r="I10" s="78"/>
      <c r="J10" s="78"/>
      <c r="K10" s="78"/>
      <c r="L10" s="111">
        <f t="shared" si="2"/>
        <v>0</v>
      </c>
      <c r="M10" s="112">
        <f t="shared" si="0"/>
        <v>0</v>
      </c>
      <c r="N10" s="113">
        <f t="shared" si="1"/>
        <v>0</v>
      </c>
    </row>
    <row r="11" ht="17" customHeight="1" spans="1:14">
      <c r="A11" s="78">
        <v>9</v>
      </c>
      <c r="B11" s="105" t="s">
        <v>16</v>
      </c>
      <c r="C11" s="78">
        <v>0</v>
      </c>
      <c r="D11" s="78"/>
      <c r="E11" s="78"/>
      <c r="F11" s="78"/>
      <c r="G11" s="78"/>
      <c r="H11" s="78"/>
      <c r="I11" s="78"/>
      <c r="J11" s="78"/>
      <c r="K11" s="78"/>
      <c r="L11" s="111">
        <f t="shared" si="2"/>
        <v>0</v>
      </c>
      <c r="M11" s="112">
        <f t="shared" si="0"/>
        <v>0</v>
      </c>
      <c r="N11" s="113">
        <f t="shared" si="1"/>
        <v>0</v>
      </c>
    </row>
    <row r="12" ht="17" customHeight="1" spans="1:14">
      <c r="A12" s="78">
        <v>10</v>
      </c>
      <c r="B12" s="105" t="s">
        <v>13</v>
      </c>
      <c r="C12" s="78">
        <v>0</v>
      </c>
      <c r="D12" s="78">
        <v>1</v>
      </c>
      <c r="E12" s="78"/>
      <c r="F12" s="78"/>
      <c r="G12" s="78"/>
      <c r="H12" s="78"/>
      <c r="I12" s="78"/>
      <c r="J12" s="78"/>
      <c r="K12" s="78"/>
      <c r="L12" s="111">
        <f t="shared" si="2"/>
        <v>1</v>
      </c>
      <c r="M12" s="112">
        <f t="shared" si="0"/>
        <v>6.66666666666667</v>
      </c>
      <c r="N12" s="113">
        <f t="shared" si="1"/>
        <v>0.333333333333333</v>
      </c>
    </row>
    <row r="13" ht="17" customHeight="1" spans="1:14">
      <c r="A13" s="78">
        <v>11</v>
      </c>
      <c r="B13" s="105" t="s">
        <v>12</v>
      </c>
      <c r="C13" s="78">
        <v>0</v>
      </c>
      <c r="D13" s="78"/>
      <c r="E13" s="78"/>
      <c r="F13" s="78"/>
      <c r="G13" s="78"/>
      <c r="H13" s="78"/>
      <c r="I13" s="78"/>
      <c r="J13" s="78"/>
      <c r="K13" s="78"/>
      <c r="L13" s="111">
        <f t="shared" si="2"/>
        <v>0</v>
      </c>
      <c r="M13" s="112">
        <f t="shared" si="0"/>
        <v>0</v>
      </c>
      <c r="N13" s="113">
        <f t="shared" si="1"/>
        <v>0</v>
      </c>
    </row>
    <row r="14" ht="17" customHeight="1" spans="1:14">
      <c r="A14" s="78">
        <v>12</v>
      </c>
      <c r="B14" s="105" t="s">
        <v>15</v>
      </c>
      <c r="C14" s="78">
        <v>0</v>
      </c>
      <c r="D14" s="78"/>
      <c r="E14" s="78"/>
      <c r="F14" s="78"/>
      <c r="G14" s="78"/>
      <c r="H14" s="78"/>
      <c r="I14" s="78"/>
      <c r="J14" s="78"/>
      <c r="K14" s="78"/>
      <c r="L14" s="111">
        <f t="shared" si="2"/>
        <v>0</v>
      </c>
      <c r="M14" s="112">
        <f t="shared" si="0"/>
        <v>0</v>
      </c>
      <c r="N14" s="113">
        <f t="shared" si="1"/>
        <v>0</v>
      </c>
    </row>
    <row r="15" ht="17" customHeight="1" spans="1:14">
      <c r="A15" s="78">
        <v>13</v>
      </c>
      <c r="B15" s="105" t="s">
        <v>14</v>
      </c>
      <c r="C15" s="78">
        <v>0</v>
      </c>
      <c r="D15" s="78"/>
      <c r="E15" s="78"/>
      <c r="F15" s="78"/>
      <c r="G15" s="78"/>
      <c r="H15" s="78"/>
      <c r="I15" s="78"/>
      <c r="J15" s="78"/>
      <c r="K15" s="78"/>
      <c r="L15" s="111">
        <f t="shared" si="2"/>
        <v>0</v>
      </c>
      <c r="M15" s="112">
        <f t="shared" si="0"/>
        <v>0</v>
      </c>
      <c r="N15" s="113">
        <f t="shared" si="1"/>
        <v>0</v>
      </c>
    </row>
    <row r="16" ht="17" customHeight="1" spans="1:14">
      <c r="A16" s="78">
        <v>14</v>
      </c>
      <c r="B16" s="105" t="s">
        <v>19</v>
      </c>
      <c r="C16" s="78">
        <v>0</v>
      </c>
      <c r="D16" s="78"/>
      <c r="E16" s="78"/>
      <c r="F16" s="78"/>
      <c r="G16" s="78"/>
      <c r="H16" s="78"/>
      <c r="I16" s="78"/>
      <c r="J16" s="78"/>
      <c r="K16" s="78"/>
      <c r="L16" s="111">
        <f t="shared" si="2"/>
        <v>0</v>
      </c>
      <c r="M16" s="112">
        <f t="shared" si="0"/>
        <v>0</v>
      </c>
      <c r="N16" s="113">
        <f t="shared" si="1"/>
        <v>0</v>
      </c>
    </row>
    <row r="17" ht="17" customHeight="1" spans="1:14">
      <c r="A17" s="78">
        <v>15</v>
      </c>
      <c r="B17" s="105" t="s">
        <v>17</v>
      </c>
      <c r="C17" s="78">
        <v>0</v>
      </c>
      <c r="D17" s="78"/>
      <c r="E17" s="78"/>
      <c r="F17" s="78"/>
      <c r="G17" s="78"/>
      <c r="H17" s="78"/>
      <c r="I17" s="78"/>
      <c r="J17" s="78"/>
      <c r="K17" s="78"/>
      <c r="L17" s="111">
        <f t="shared" si="2"/>
        <v>0</v>
      </c>
      <c r="M17" s="112">
        <f t="shared" si="0"/>
        <v>0</v>
      </c>
      <c r="N17" s="113">
        <f t="shared" si="1"/>
        <v>0</v>
      </c>
    </row>
    <row r="18" ht="17" customHeight="1" spans="1:14">
      <c r="A18" s="78">
        <v>16</v>
      </c>
      <c r="B18" s="105" t="s">
        <v>22</v>
      </c>
      <c r="C18" s="78">
        <v>0</v>
      </c>
      <c r="D18" s="78"/>
      <c r="E18" s="78"/>
      <c r="F18" s="78"/>
      <c r="G18" s="78"/>
      <c r="H18" s="78"/>
      <c r="I18" s="78"/>
      <c r="J18" s="78"/>
      <c r="K18" s="78"/>
      <c r="L18" s="111">
        <f t="shared" si="2"/>
        <v>0</v>
      </c>
      <c r="M18" s="112">
        <f t="shared" si="0"/>
        <v>0</v>
      </c>
      <c r="N18" s="113">
        <f t="shared" si="1"/>
        <v>0</v>
      </c>
    </row>
    <row r="19" ht="17" customHeight="1" spans="1:14">
      <c r="A19" s="78">
        <v>17</v>
      </c>
      <c r="B19" s="105" t="s">
        <v>26</v>
      </c>
      <c r="C19" s="78">
        <v>0</v>
      </c>
      <c r="D19" s="78">
        <v>1</v>
      </c>
      <c r="E19" s="78"/>
      <c r="F19" s="78"/>
      <c r="G19" s="78"/>
      <c r="H19" s="78"/>
      <c r="I19" s="78"/>
      <c r="J19" s="78"/>
      <c r="K19" s="78"/>
      <c r="L19" s="111">
        <f t="shared" si="2"/>
        <v>1</v>
      </c>
      <c r="M19" s="112">
        <f t="shared" si="0"/>
        <v>6.66666666666667</v>
      </c>
      <c r="N19" s="113">
        <f t="shared" si="1"/>
        <v>0.333333333333333</v>
      </c>
    </row>
    <row r="20" ht="17" customHeight="1" spans="1:14">
      <c r="A20" s="78">
        <v>18</v>
      </c>
      <c r="B20" s="105" t="s">
        <v>29</v>
      </c>
      <c r="C20" s="78">
        <v>0</v>
      </c>
      <c r="D20" s="78"/>
      <c r="E20" s="78"/>
      <c r="F20" s="78"/>
      <c r="G20" s="78"/>
      <c r="H20" s="78"/>
      <c r="I20" s="78"/>
      <c r="J20" s="78"/>
      <c r="K20" s="78"/>
      <c r="L20" s="111">
        <f t="shared" si="2"/>
        <v>0</v>
      </c>
      <c r="M20" s="112">
        <f t="shared" si="0"/>
        <v>0</v>
      </c>
      <c r="N20" s="113">
        <f t="shared" si="1"/>
        <v>0</v>
      </c>
    </row>
    <row r="21" ht="17" customHeight="1" spans="1:14">
      <c r="A21" s="78">
        <v>19</v>
      </c>
      <c r="B21" s="105" t="s">
        <v>23</v>
      </c>
      <c r="C21" s="78">
        <v>0</v>
      </c>
      <c r="D21" s="78">
        <v>1</v>
      </c>
      <c r="E21" s="78">
        <v>14</v>
      </c>
      <c r="F21" s="78"/>
      <c r="G21" s="78"/>
      <c r="H21" s="78"/>
      <c r="I21" s="78"/>
      <c r="J21" s="78"/>
      <c r="K21" s="78"/>
      <c r="L21" s="111">
        <f t="shared" si="2"/>
        <v>15</v>
      </c>
      <c r="M21" s="112">
        <f t="shared" si="0"/>
        <v>100</v>
      </c>
      <c r="N21" s="113">
        <f t="shared" si="1"/>
        <v>5</v>
      </c>
    </row>
    <row r="22" ht="17" customHeight="1" spans="1:14">
      <c r="A22" s="78">
        <v>20</v>
      </c>
      <c r="B22" s="105" t="s">
        <v>30</v>
      </c>
      <c r="C22" s="78">
        <v>0</v>
      </c>
      <c r="D22" s="78"/>
      <c r="E22" s="78"/>
      <c r="F22" s="78"/>
      <c r="G22" s="78"/>
      <c r="H22" s="78"/>
      <c r="I22" s="78"/>
      <c r="J22" s="78"/>
      <c r="K22" s="78"/>
      <c r="L22" s="111">
        <f t="shared" si="2"/>
        <v>0</v>
      </c>
      <c r="M22" s="112">
        <f t="shared" si="0"/>
        <v>0</v>
      </c>
      <c r="N22" s="113">
        <f t="shared" si="1"/>
        <v>0</v>
      </c>
    </row>
    <row r="23" ht="17" customHeight="1" spans="1:14">
      <c r="A23" s="78">
        <v>21</v>
      </c>
      <c r="B23" s="105" t="s">
        <v>25</v>
      </c>
      <c r="C23" s="78">
        <v>0</v>
      </c>
      <c r="D23" s="78">
        <v>1</v>
      </c>
      <c r="E23" s="78"/>
      <c r="F23" s="78"/>
      <c r="G23" s="78"/>
      <c r="H23" s="78"/>
      <c r="I23" s="78"/>
      <c r="J23" s="78"/>
      <c r="K23" s="78"/>
      <c r="L23" s="111">
        <f t="shared" si="2"/>
        <v>1</v>
      </c>
      <c r="M23" s="112">
        <f t="shared" si="0"/>
        <v>6.66666666666667</v>
      </c>
      <c r="N23" s="113">
        <f t="shared" si="1"/>
        <v>0.333333333333333</v>
      </c>
    </row>
    <row r="24" ht="17" customHeight="1" spans="1:14">
      <c r="A24" s="78">
        <v>22</v>
      </c>
      <c r="B24" s="105" t="s">
        <v>31</v>
      </c>
      <c r="C24" s="78">
        <v>0</v>
      </c>
      <c r="D24" s="78"/>
      <c r="E24" s="78"/>
      <c r="F24" s="78"/>
      <c r="G24" s="78"/>
      <c r="H24" s="78"/>
      <c r="I24" s="78"/>
      <c r="J24" s="78"/>
      <c r="K24" s="78"/>
      <c r="L24" s="111">
        <f t="shared" si="2"/>
        <v>0</v>
      </c>
      <c r="M24" s="112">
        <f t="shared" si="0"/>
        <v>0</v>
      </c>
      <c r="N24" s="113">
        <f t="shared" si="1"/>
        <v>0</v>
      </c>
    </row>
    <row r="25" ht="17" customHeight="1" spans="1:14">
      <c r="A25" s="78">
        <v>23</v>
      </c>
      <c r="B25" s="105" t="s">
        <v>24</v>
      </c>
      <c r="C25" s="78">
        <v>0</v>
      </c>
      <c r="D25" s="78"/>
      <c r="E25" s="78"/>
      <c r="F25" s="78"/>
      <c r="G25" s="78"/>
      <c r="H25" s="78"/>
      <c r="I25" s="78"/>
      <c r="J25" s="78"/>
      <c r="K25" s="78"/>
      <c r="L25" s="111">
        <f t="shared" si="2"/>
        <v>0</v>
      </c>
      <c r="M25" s="112">
        <f t="shared" si="0"/>
        <v>0</v>
      </c>
      <c r="N25" s="113">
        <f t="shared" si="1"/>
        <v>0</v>
      </c>
    </row>
    <row r="26" ht="17" customHeight="1" spans="1:14">
      <c r="A26" s="78">
        <v>24</v>
      </c>
      <c r="B26" s="105" t="s">
        <v>28</v>
      </c>
      <c r="C26" s="78">
        <v>0</v>
      </c>
      <c r="D26" s="78"/>
      <c r="E26" s="78"/>
      <c r="F26" s="78"/>
      <c r="G26" s="78"/>
      <c r="H26" s="78"/>
      <c r="I26" s="78"/>
      <c r="J26" s="78"/>
      <c r="K26" s="78"/>
      <c r="L26" s="111">
        <f t="shared" si="2"/>
        <v>0</v>
      </c>
      <c r="M26" s="112">
        <f t="shared" si="0"/>
        <v>0</v>
      </c>
      <c r="N26" s="113">
        <f t="shared" si="1"/>
        <v>0</v>
      </c>
    </row>
    <row r="27" ht="17" customHeight="1" spans="1:14">
      <c r="A27" s="78">
        <v>25</v>
      </c>
      <c r="B27" s="105" t="s">
        <v>34</v>
      </c>
      <c r="C27" s="78">
        <v>0</v>
      </c>
      <c r="D27" s="78"/>
      <c r="E27" s="78"/>
      <c r="F27" s="78"/>
      <c r="G27" s="78"/>
      <c r="H27" s="78"/>
      <c r="I27" s="78"/>
      <c r="J27" s="78"/>
      <c r="K27" s="78"/>
      <c r="L27" s="111">
        <f t="shared" si="2"/>
        <v>0</v>
      </c>
      <c r="M27" s="112">
        <f t="shared" si="0"/>
        <v>0</v>
      </c>
      <c r="N27" s="113">
        <f t="shared" si="1"/>
        <v>0</v>
      </c>
    </row>
    <row r="28" ht="17" customHeight="1" spans="1:14">
      <c r="A28" s="78">
        <v>26</v>
      </c>
      <c r="B28" s="105" t="s">
        <v>33</v>
      </c>
      <c r="C28" s="78">
        <v>0</v>
      </c>
      <c r="D28" s="78"/>
      <c r="E28" s="78"/>
      <c r="F28" s="78"/>
      <c r="G28" s="78"/>
      <c r="H28" s="78"/>
      <c r="I28" s="78"/>
      <c r="J28" s="78"/>
      <c r="K28" s="78"/>
      <c r="L28" s="111">
        <f t="shared" si="2"/>
        <v>0</v>
      </c>
      <c r="M28" s="112">
        <f t="shared" si="0"/>
        <v>0</v>
      </c>
      <c r="N28" s="113">
        <f t="shared" si="1"/>
        <v>0</v>
      </c>
    </row>
    <row r="29" ht="17" customHeight="1" spans="1:14">
      <c r="A29" s="78">
        <v>27</v>
      </c>
      <c r="B29" s="105" t="s">
        <v>32</v>
      </c>
      <c r="C29" s="78">
        <v>0</v>
      </c>
      <c r="D29" s="78"/>
      <c r="E29" s="78"/>
      <c r="F29" s="78"/>
      <c r="G29" s="78"/>
      <c r="H29" s="78"/>
      <c r="I29" s="78"/>
      <c r="J29" s="78"/>
      <c r="K29" s="78"/>
      <c r="L29" s="111">
        <f t="shared" si="2"/>
        <v>0</v>
      </c>
      <c r="M29" s="112">
        <f t="shared" si="0"/>
        <v>0</v>
      </c>
      <c r="N29" s="113">
        <f t="shared" si="1"/>
        <v>0</v>
      </c>
    </row>
    <row r="30" ht="17" customHeight="1" spans="1:14">
      <c r="A30" s="78">
        <v>28</v>
      </c>
      <c r="B30" s="105" t="s">
        <v>27</v>
      </c>
      <c r="C30" s="78">
        <v>0</v>
      </c>
      <c r="D30" s="78"/>
      <c r="E30" s="78"/>
      <c r="F30" s="78"/>
      <c r="G30" s="78"/>
      <c r="H30" s="78"/>
      <c r="I30" s="78"/>
      <c r="J30" s="78"/>
      <c r="K30" s="78"/>
      <c r="L30" s="111">
        <f t="shared" si="2"/>
        <v>0</v>
      </c>
      <c r="M30" s="112">
        <f t="shared" si="0"/>
        <v>0</v>
      </c>
      <c r="N30" s="113">
        <f t="shared" si="1"/>
        <v>0</v>
      </c>
    </row>
    <row r="31" s="2" customFormat="1" ht="17" customHeight="1" spans="1:14">
      <c r="A31" s="114" t="s">
        <v>40</v>
      </c>
      <c r="B31" s="115"/>
      <c r="C31" s="91">
        <v>0</v>
      </c>
      <c r="D31" s="91">
        <f t="shared" ref="C31:L31" si="3">SUM(D3:D30)</f>
        <v>6</v>
      </c>
      <c r="E31" s="91">
        <f t="shared" si="3"/>
        <v>23</v>
      </c>
      <c r="F31" s="91">
        <f t="shared" si="3"/>
        <v>1</v>
      </c>
      <c r="G31" s="91">
        <f t="shared" si="3"/>
        <v>0</v>
      </c>
      <c r="H31" s="91">
        <f t="shared" si="3"/>
        <v>0</v>
      </c>
      <c r="I31" s="91">
        <f t="shared" si="3"/>
        <v>0</v>
      </c>
      <c r="J31" s="91">
        <f t="shared" si="3"/>
        <v>0</v>
      </c>
      <c r="K31" s="91">
        <f t="shared" si="3"/>
        <v>0</v>
      </c>
      <c r="L31" s="116">
        <f t="shared" si="2"/>
        <v>30</v>
      </c>
      <c r="M31" s="117">
        <f t="shared" si="0"/>
        <v>200</v>
      </c>
      <c r="N31" s="113">
        <f t="shared" si="1"/>
        <v>10</v>
      </c>
    </row>
  </sheetData>
  <mergeCells count="2">
    <mergeCell ref="A1:N1"/>
    <mergeCell ref="A31:B31"/>
  </mergeCells>
  <pageMargins left="0.472222222222222" right="0.275" top="0.590277777777778" bottom="0.511805555555556" header="0.314583333333333" footer="0.236111111111111"/>
  <pageSetup paperSize="1" scale="98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G2" sqref="G2"/>
    </sheetView>
  </sheetViews>
  <sheetFormatPr defaultColWidth="9.14285714285714" defaultRowHeight="15" outlineLevelCol="7"/>
  <cols>
    <col min="1" max="1" width="5.57142857142857" customWidth="1"/>
    <col min="2" max="2" width="26.3809523809524" style="68" customWidth="1"/>
    <col min="3" max="3" width="12.1619047619048" style="25" customWidth="1"/>
    <col min="4" max="4" width="11.2857142857143" style="25" customWidth="1"/>
    <col min="5" max="5" width="12" style="25" customWidth="1"/>
    <col min="6" max="6" width="10.4190476190476" style="25" customWidth="1"/>
    <col min="7" max="7" width="8.85714285714286" style="25" customWidth="1"/>
    <col min="8" max="8" width="8.85714285714286" style="70" customWidth="1"/>
  </cols>
  <sheetData>
    <row r="1" ht="23" customHeight="1" spans="1:8">
      <c r="A1" s="71" t="s">
        <v>70</v>
      </c>
      <c r="B1" s="71"/>
      <c r="C1" s="71"/>
      <c r="D1" s="71"/>
      <c r="E1" s="71"/>
      <c r="F1" s="71"/>
      <c r="G1" s="71"/>
      <c r="H1" s="73"/>
    </row>
    <row r="2" s="67" customFormat="1" ht="76" customHeight="1" spans="1:8">
      <c r="A2" s="74" t="s">
        <v>42</v>
      </c>
      <c r="B2" s="105" t="s">
        <v>43</v>
      </c>
      <c r="C2" s="96" t="s">
        <v>71</v>
      </c>
      <c r="D2" s="96" t="s">
        <v>72</v>
      </c>
      <c r="E2" s="96" t="s">
        <v>73</v>
      </c>
      <c r="F2" s="96" t="s">
        <v>74</v>
      </c>
      <c r="G2" s="84" t="s">
        <v>5</v>
      </c>
      <c r="H2" s="77" t="s">
        <v>6</v>
      </c>
    </row>
    <row r="3" spans="1:8">
      <c r="A3" s="78">
        <v>1</v>
      </c>
      <c r="B3" s="105" t="s">
        <v>11</v>
      </c>
      <c r="C3" s="78">
        <v>0</v>
      </c>
      <c r="D3" s="78">
        <v>0</v>
      </c>
      <c r="E3" s="78">
        <v>0</v>
      </c>
      <c r="F3" s="78">
        <v>0</v>
      </c>
      <c r="G3" s="106">
        <f>IF((C3+E3)=0,100,(((C3-D3)/IF(C3=0,1,C3)*100)+((E3-F3)/IF(E3=0,1,E3)*100))/200*100)</f>
        <v>100</v>
      </c>
      <c r="H3" s="107">
        <f>G3*0.05</f>
        <v>5</v>
      </c>
    </row>
    <row r="4" ht="30" spans="1:8">
      <c r="A4" s="78">
        <v>2</v>
      </c>
      <c r="B4" s="105" t="s">
        <v>20</v>
      </c>
      <c r="C4" s="78">
        <v>0</v>
      </c>
      <c r="D4" s="78">
        <v>0</v>
      </c>
      <c r="E4" s="78">
        <v>0</v>
      </c>
      <c r="F4" s="78">
        <v>0</v>
      </c>
      <c r="G4" s="106">
        <f t="shared" ref="G4:G30" si="0">IF((C4+E4)=0,100,(((C4-D4)/IF(C4=0,1,C4)*100)+((E4-F4)/IF(E4=0,1,E4)*100))/200*100)</f>
        <v>100</v>
      </c>
      <c r="H4" s="107">
        <f t="shared" ref="H4:H30" si="1">G4*0.05</f>
        <v>5</v>
      </c>
    </row>
    <row r="5" ht="30" spans="1:8">
      <c r="A5" s="78">
        <v>3</v>
      </c>
      <c r="B5" s="105" t="s">
        <v>10</v>
      </c>
      <c r="C5" s="78">
        <v>0</v>
      </c>
      <c r="D5" s="78">
        <v>0</v>
      </c>
      <c r="E5" s="78">
        <v>0</v>
      </c>
      <c r="F5" s="78">
        <v>0</v>
      </c>
      <c r="G5" s="106">
        <f t="shared" si="0"/>
        <v>100</v>
      </c>
      <c r="H5" s="107">
        <f t="shared" si="1"/>
        <v>5</v>
      </c>
    </row>
    <row r="6" spans="1:8">
      <c r="A6" s="78">
        <v>4</v>
      </c>
      <c r="B6" s="105" t="s">
        <v>8</v>
      </c>
      <c r="C6" s="78">
        <v>0</v>
      </c>
      <c r="D6" s="78">
        <v>0</v>
      </c>
      <c r="E6" s="78">
        <v>0</v>
      </c>
      <c r="F6" s="78">
        <v>0</v>
      </c>
      <c r="G6" s="106">
        <f t="shared" si="0"/>
        <v>100</v>
      </c>
      <c r="H6" s="107">
        <f t="shared" si="1"/>
        <v>5</v>
      </c>
    </row>
    <row r="7" spans="1:8">
      <c r="A7" s="78">
        <v>5</v>
      </c>
      <c r="B7" s="105" t="s">
        <v>7</v>
      </c>
      <c r="C7" s="78">
        <v>0</v>
      </c>
      <c r="D7" s="78">
        <v>0</v>
      </c>
      <c r="E7" s="78">
        <v>0</v>
      </c>
      <c r="F7" s="78">
        <v>0</v>
      </c>
      <c r="G7" s="106">
        <f t="shared" si="0"/>
        <v>100</v>
      </c>
      <c r="H7" s="107">
        <f t="shared" si="1"/>
        <v>5</v>
      </c>
    </row>
    <row r="8" spans="1:8">
      <c r="A8" s="78">
        <v>6</v>
      </c>
      <c r="B8" s="105" t="s">
        <v>21</v>
      </c>
      <c r="C8" s="78">
        <v>0</v>
      </c>
      <c r="D8" s="78">
        <v>0</v>
      </c>
      <c r="E8" s="78">
        <v>0</v>
      </c>
      <c r="F8" s="78">
        <v>0</v>
      </c>
      <c r="G8" s="106">
        <f t="shared" si="0"/>
        <v>100</v>
      </c>
      <c r="H8" s="107">
        <f t="shared" si="1"/>
        <v>5</v>
      </c>
    </row>
    <row r="9" spans="1:8">
      <c r="A9" s="78">
        <v>7</v>
      </c>
      <c r="B9" s="105" t="s">
        <v>9</v>
      </c>
      <c r="C9" s="78">
        <v>0</v>
      </c>
      <c r="D9" s="78">
        <v>0</v>
      </c>
      <c r="E9" s="78">
        <v>0</v>
      </c>
      <c r="F9" s="78">
        <v>0</v>
      </c>
      <c r="G9" s="106">
        <f t="shared" si="0"/>
        <v>100</v>
      </c>
      <c r="H9" s="107">
        <f t="shared" si="1"/>
        <v>5</v>
      </c>
    </row>
    <row r="10" spans="1:8">
      <c r="A10" s="78">
        <v>8</v>
      </c>
      <c r="B10" s="105" t="s">
        <v>18</v>
      </c>
      <c r="C10" s="78">
        <v>0</v>
      </c>
      <c r="D10" s="78">
        <v>0</v>
      </c>
      <c r="E10" s="78">
        <v>0</v>
      </c>
      <c r="F10" s="78">
        <v>0</v>
      </c>
      <c r="G10" s="106">
        <f t="shared" si="0"/>
        <v>100</v>
      </c>
      <c r="H10" s="107">
        <f t="shared" si="1"/>
        <v>5</v>
      </c>
    </row>
    <row r="11" spans="1:8">
      <c r="A11" s="78">
        <v>9</v>
      </c>
      <c r="B11" s="105" t="s">
        <v>16</v>
      </c>
      <c r="C11" s="78">
        <v>0</v>
      </c>
      <c r="D11" s="78">
        <v>0</v>
      </c>
      <c r="E11" s="78">
        <v>0</v>
      </c>
      <c r="F11" s="78">
        <v>0</v>
      </c>
      <c r="G11" s="106">
        <f t="shared" si="0"/>
        <v>100</v>
      </c>
      <c r="H11" s="107">
        <f t="shared" si="1"/>
        <v>5</v>
      </c>
    </row>
    <row r="12" spans="1:8">
      <c r="A12" s="78">
        <v>10</v>
      </c>
      <c r="B12" s="105" t="s">
        <v>13</v>
      </c>
      <c r="C12" s="78">
        <v>0</v>
      </c>
      <c r="D12" s="78">
        <v>0</v>
      </c>
      <c r="E12" s="78">
        <v>0</v>
      </c>
      <c r="F12" s="78">
        <v>0</v>
      </c>
      <c r="G12" s="106">
        <f t="shared" si="0"/>
        <v>100</v>
      </c>
      <c r="H12" s="107">
        <f t="shared" si="1"/>
        <v>5</v>
      </c>
    </row>
    <row r="13" spans="1:8">
      <c r="A13" s="78">
        <v>11</v>
      </c>
      <c r="B13" s="105" t="s">
        <v>12</v>
      </c>
      <c r="C13" s="78">
        <v>0</v>
      </c>
      <c r="D13" s="78">
        <v>0</v>
      </c>
      <c r="E13" s="78">
        <v>0</v>
      </c>
      <c r="F13" s="78">
        <v>0</v>
      </c>
      <c r="G13" s="106">
        <f t="shared" si="0"/>
        <v>100</v>
      </c>
      <c r="H13" s="107">
        <f t="shared" si="1"/>
        <v>5</v>
      </c>
    </row>
    <row r="14" spans="1:8">
      <c r="A14" s="78">
        <v>12</v>
      </c>
      <c r="B14" s="105" t="s">
        <v>15</v>
      </c>
      <c r="C14" s="78">
        <v>0</v>
      </c>
      <c r="D14" s="78">
        <v>0</v>
      </c>
      <c r="E14" s="78">
        <v>0</v>
      </c>
      <c r="F14" s="78">
        <v>0</v>
      </c>
      <c r="G14" s="106">
        <f t="shared" si="0"/>
        <v>100</v>
      </c>
      <c r="H14" s="107">
        <f t="shared" si="1"/>
        <v>5</v>
      </c>
    </row>
    <row r="15" spans="1:8">
      <c r="A15" s="78">
        <v>13</v>
      </c>
      <c r="B15" s="105" t="s">
        <v>14</v>
      </c>
      <c r="C15" s="78">
        <v>0</v>
      </c>
      <c r="D15" s="78">
        <v>0</v>
      </c>
      <c r="E15" s="78">
        <v>0</v>
      </c>
      <c r="F15" s="78">
        <v>0</v>
      </c>
      <c r="G15" s="106">
        <f t="shared" si="0"/>
        <v>100</v>
      </c>
      <c r="H15" s="107">
        <f t="shared" si="1"/>
        <v>5</v>
      </c>
    </row>
    <row r="16" spans="1:8">
      <c r="A16" s="78">
        <v>14</v>
      </c>
      <c r="B16" s="105" t="s">
        <v>19</v>
      </c>
      <c r="C16" s="78">
        <v>0</v>
      </c>
      <c r="D16" s="78">
        <v>0</v>
      </c>
      <c r="E16" s="78">
        <v>0</v>
      </c>
      <c r="F16" s="78">
        <v>0</v>
      </c>
      <c r="G16" s="106">
        <f t="shared" si="0"/>
        <v>100</v>
      </c>
      <c r="H16" s="107">
        <f t="shared" si="1"/>
        <v>5</v>
      </c>
    </row>
    <row r="17" spans="1:8">
      <c r="A17" s="78">
        <v>15</v>
      </c>
      <c r="B17" s="105" t="s">
        <v>17</v>
      </c>
      <c r="C17" s="78">
        <v>0</v>
      </c>
      <c r="D17" s="78">
        <v>0</v>
      </c>
      <c r="E17" s="78">
        <v>0</v>
      </c>
      <c r="F17" s="78">
        <v>0</v>
      </c>
      <c r="G17" s="106">
        <f t="shared" si="0"/>
        <v>100</v>
      </c>
      <c r="H17" s="107">
        <f t="shared" si="1"/>
        <v>5</v>
      </c>
    </row>
    <row r="18" spans="1:8">
      <c r="A18" s="78">
        <v>16</v>
      </c>
      <c r="B18" s="105" t="s">
        <v>22</v>
      </c>
      <c r="C18" s="78">
        <v>0</v>
      </c>
      <c r="D18" s="78">
        <v>0</v>
      </c>
      <c r="E18" s="78">
        <v>0</v>
      </c>
      <c r="F18" s="78">
        <v>0</v>
      </c>
      <c r="G18" s="106">
        <f t="shared" si="0"/>
        <v>100</v>
      </c>
      <c r="H18" s="107">
        <f t="shared" si="1"/>
        <v>5</v>
      </c>
    </row>
    <row r="19" spans="1:8">
      <c r="A19" s="78">
        <v>17</v>
      </c>
      <c r="B19" s="105" t="s">
        <v>26</v>
      </c>
      <c r="C19" s="78">
        <v>0</v>
      </c>
      <c r="D19" s="78">
        <v>0</v>
      </c>
      <c r="E19" s="78">
        <v>0</v>
      </c>
      <c r="F19" s="78">
        <v>0</v>
      </c>
      <c r="G19" s="106">
        <f t="shared" si="0"/>
        <v>100</v>
      </c>
      <c r="H19" s="107">
        <f t="shared" si="1"/>
        <v>5</v>
      </c>
    </row>
    <row r="20" spans="1:8">
      <c r="A20" s="78">
        <v>18</v>
      </c>
      <c r="B20" s="105" t="s">
        <v>29</v>
      </c>
      <c r="C20" s="78">
        <v>0</v>
      </c>
      <c r="D20" s="78">
        <v>0</v>
      </c>
      <c r="E20" s="78">
        <v>0</v>
      </c>
      <c r="F20" s="78">
        <v>0</v>
      </c>
      <c r="G20" s="106">
        <f t="shared" si="0"/>
        <v>100</v>
      </c>
      <c r="H20" s="107">
        <f t="shared" si="1"/>
        <v>5</v>
      </c>
    </row>
    <row r="21" spans="1:8">
      <c r="A21" s="78">
        <v>19</v>
      </c>
      <c r="B21" s="105" t="s">
        <v>23</v>
      </c>
      <c r="C21" s="78">
        <v>0</v>
      </c>
      <c r="D21" s="78">
        <v>0</v>
      </c>
      <c r="E21" s="78">
        <v>0</v>
      </c>
      <c r="F21" s="78">
        <v>0</v>
      </c>
      <c r="G21" s="106">
        <f t="shared" si="0"/>
        <v>100</v>
      </c>
      <c r="H21" s="107">
        <f t="shared" si="1"/>
        <v>5</v>
      </c>
    </row>
    <row r="22" spans="1:8">
      <c r="A22" s="78">
        <v>20</v>
      </c>
      <c r="B22" s="105" t="s">
        <v>30</v>
      </c>
      <c r="C22" s="78">
        <v>0</v>
      </c>
      <c r="D22" s="78">
        <v>0</v>
      </c>
      <c r="E22" s="78">
        <v>0</v>
      </c>
      <c r="F22" s="78">
        <v>0</v>
      </c>
      <c r="G22" s="106">
        <f t="shared" si="0"/>
        <v>100</v>
      </c>
      <c r="H22" s="107">
        <f t="shared" si="1"/>
        <v>5</v>
      </c>
    </row>
    <row r="23" spans="1:8">
      <c r="A23" s="78">
        <v>21</v>
      </c>
      <c r="B23" s="105" t="s">
        <v>25</v>
      </c>
      <c r="C23" s="78">
        <v>0</v>
      </c>
      <c r="D23" s="78">
        <v>0</v>
      </c>
      <c r="E23" s="78">
        <v>0</v>
      </c>
      <c r="F23" s="78">
        <v>0</v>
      </c>
      <c r="G23" s="106">
        <f t="shared" si="0"/>
        <v>100</v>
      </c>
      <c r="H23" s="107">
        <f t="shared" si="1"/>
        <v>5</v>
      </c>
    </row>
    <row r="24" spans="1:8">
      <c r="A24" s="78">
        <v>22</v>
      </c>
      <c r="B24" s="105" t="s">
        <v>31</v>
      </c>
      <c r="C24" s="78">
        <v>0</v>
      </c>
      <c r="D24" s="78">
        <v>0</v>
      </c>
      <c r="E24" s="78">
        <v>0</v>
      </c>
      <c r="F24" s="78">
        <v>0</v>
      </c>
      <c r="G24" s="106">
        <f t="shared" si="0"/>
        <v>100</v>
      </c>
      <c r="H24" s="107">
        <f t="shared" si="1"/>
        <v>5</v>
      </c>
    </row>
    <row r="25" spans="1:8">
      <c r="A25" s="78">
        <v>23</v>
      </c>
      <c r="B25" s="105" t="s">
        <v>24</v>
      </c>
      <c r="C25" s="78">
        <v>0</v>
      </c>
      <c r="D25" s="78">
        <v>0</v>
      </c>
      <c r="E25" s="78">
        <v>0</v>
      </c>
      <c r="F25" s="78">
        <v>0</v>
      </c>
      <c r="G25" s="106">
        <f t="shared" si="0"/>
        <v>100</v>
      </c>
      <c r="H25" s="107">
        <f t="shared" si="1"/>
        <v>5</v>
      </c>
    </row>
    <row r="26" spans="1:8">
      <c r="A26" s="78">
        <v>24</v>
      </c>
      <c r="B26" s="105" t="s">
        <v>28</v>
      </c>
      <c r="C26" s="78">
        <v>0</v>
      </c>
      <c r="D26" s="78">
        <v>0</v>
      </c>
      <c r="E26" s="78">
        <v>0</v>
      </c>
      <c r="F26" s="78">
        <v>0</v>
      </c>
      <c r="G26" s="106">
        <f t="shared" si="0"/>
        <v>100</v>
      </c>
      <c r="H26" s="107">
        <f t="shared" si="1"/>
        <v>5</v>
      </c>
    </row>
    <row r="27" spans="1:8">
      <c r="A27" s="78">
        <v>25</v>
      </c>
      <c r="B27" s="105" t="s">
        <v>34</v>
      </c>
      <c r="C27" s="78">
        <v>0</v>
      </c>
      <c r="D27" s="78">
        <v>0</v>
      </c>
      <c r="E27" s="78">
        <v>0</v>
      </c>
      <c r="F27" s="78">
        <v>0</v>
      </c>
      <c r="G27" s="106">
        <f t="shared" si="0"/>
        <v>100</v>
      </c>
      <c r="H27" s="107">
        <f t="shared" si="1"/>
        <v>5</v>
      </c>
    </row>
    <row r="28" spans="1:8">
      <c r="A28" s="78">
        <v>26</v>
      </c>
      <c r="B28" s="105" t="s">
        <v>33</v>
      </c>
      <c r="C28" s="78">
        <v>0</v>
      </c>
      <c r="D28" s="78">
        <v>0</v>
      </c>
      <c r="E28" s="78">
        <v>0</v>
      </c>
      <c r="F28" s="78">
        <v>0</v>
      </c>
      <c r="G28" s="106">
        <f t="shared" si="0"/>
        <v>100</v>
      </c>
      <c r="H28" s="107">
        <f t="shared" si="1"/>
        <v>5</v>
      </c>
    </row>
    <row r="29" spans="1:8">
      <c r="A29" s="78">
        <v>27</v>
      </c>
      <c r="B29" s="105" t="s">
        <v>32</v>
      </c>
      <c r="C29" s="78">
        <v>0</v>
      </c>
      <c r="D29" s="78">
        <v>0</v>
      </c>
      <c r="E29" s="78">
        <v>0</v>
      </c>
      <c r="F29" s="78">
        <v>0</v>
      </c>
      <c r="G29" s="106">
        <f t="shared" si="0"/>
        <v>100</v>
      </c>
      <c r="H29" s="107">
        <f t="shared" si="1"/>
        <v>5</v>
      </c>
    </row>
    <row r="30" spans="1:8">
      <c r="A30" s="78">
        <v>28</v>
      </c>
      <c r="B30" s="105" t="s">
        <v>27</v>
      </c>
      <c r="C30" s="78">
        <v>0</v>
      </c>
      <c r="D30" s="78">
        <v>0</v>
      </c>
      <c r="E30" s="78">
        <v>0</v>
      </c>
      <c r="F30" s="78">
        <v>0</v>
      </c>
      <c r="G30" s="106">
        <f t="shared" si="0"/>
        <v>100</v>
      </c>
      <c r="H30" s="107">
        <f t="shared" si="1"/>
        <v>5</v>
      </c>
    </row>
    <row r="31" s="2" customFormat="1" spans="1:8">
      <c r="A31" s="90" t="s">
        <v>75</v>
      </c>
      <c r="B31" s="90"/>
      <c r="C31" s="91">
        <v>0</v>
      </c>
      <c r="D31" s="90">
        <f>SUM(D3:D30)</f>
        <v>0</v>
      </c>
      <c r="E31" s="90">
        <f>SUM(E3:E30)</f>
        <v>0</v>
      </c>
      <c r="F31" s="90">
        <f>SUM(F3:F30)</f>
        <v>0</v>
      </c>
      <c r="G31" s="90">
        <f>SUM(G3:G30)</f>
        <v>2800</v>
      </c>
      <c r="H31" s="92">
        <f>SUM(H3:H30)</f>
        <v>140</v>
      </c>
    </row>
  </sheetData>
  <mergeCells count="2">
    <mergeCell ref="A1:H1"/>
    <mergeCell ref="A31:B31"/>
  </mergeCells>
  <pageMargins left="0.75" right="0.354166666666667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91"/>
  <sheetViews>
    <sheetView zoomScale="85" zoomScaleNormal="85" topLeftCell="A5" workbookViewId="0">
      <selection activeCell="I15" sqref="I15"/>
    </sheetView>
  </sheetViews>
  <sheetFormatPr defaultColWidth="12.6285714285714" defaultRowHeight="15.75" customHeight="1" outlineLevelCol="6"/>
  <cols>
    <col min="1" max="1" width="7.71428571428571" style="93" customWidth="1"/>
    <col min="2" max="2" width="29.1333333333333" style="93" customWidth="1"/>
    <col min="3" max="3" width="9.85714285714286" style="93" customWidth="1"/>
    <col min="4" max="4" width="10.4190476190476" style="93" customWidth="1"/>
    <col min="5" max="5" width="13.847619047619" style="93" customWidth="1"/>
    <col min="6" max="6" width="11.4761904761905" style="94" customWidth="1"/>
    <col min="7" max="7" width="10.2" style="93" customWidth="1"/>
    <col min="8" max="16384" width="12.6285714285714" style="93"/>
  </cols>
  <sheetData>
    <row r="1" ht="47" customHeight="1" spans="1:7">
      <c r="A1" s="95" t="s">
        <v>76</v>
      </c>
      <c r="B1" s="95"/>
      <c r="C1" s="95"/>
      <c r="D1" s="95"/>
      <c r="E1" s="95"/>
      <c r="F1" s="95"/>
      <c r="G1" s="95"/>
    </row>
    <row r="2" ht="48" customHeight="1" spans="1:7">
      <c r="A2" s="36" t="s">
        <v>1</v>
      </c>
      <c r="B2" s="96" t="s">
        <v>2</v>
      </c>
      <c r="C2" s="36" t="s">
        <v>77</v>
      </c>
      <c r="D2" s="36" t="s">
        <v>78</v>
      </c>
      <c r="E2" s="36" t="s">
        <v>79</v>
      </c>
      <c r="F2" s="84" t="s">
        <v>5</v>
      </c>
      <c r="G2" s="97" t="s">
        <v>80</v>
      </c>
    </row>
    <row r="3" ht="22" customHeight="1" spans="1:7">
      <c r="A3" s="13">
        <v>1</v>
      </c>
      <c r="B3" s="98" t="s">
        <v>7</v>
      </c>
      <c r="C3" s="19">
        <v>21</v>
      </c>
      <c r="D3" s="13">
        <v>56</v>
      </c>
      <c r="E3" s="13">
        <v>46</v>
      </c>
      <c r="F3" s="99">
        <f>(C3-MIN($C$3:$C$30))*100/(MAX($C$3:$C$30)-MIN($C$3:$C$30))</f>
        <v>100</v>
      </c>
      <c r="G3" s="99">
        <f>5/100*F3</f>
        <v>5</v>
      </c>
    </row>
    <row r="4" ht="22" customHeight="1" spans="1:7">
      <c r="A4" s="13">
        <v>2</v>
      </c>
      <c r="B4" s="98" t="s">
        <v>11</v>
      </c>
      <c r="C4" s="19">
        <v>4</v>
      </c>
      <c r="D4" s="13">
        <v>12</v>
      </c>
      <c r="E4" s="13">
        <v>10</v>
      </c>
      <c r="F4" s="99">
        <f t="shared" ref="F4:F31" si="0">(C4-MIN($C$3:$C$30))*100/(MAX($C$3:$C$30)-MIN($C$3:$C$30))</f>
        <v>15</v>
      </c>
      <c r="G4" s="99">
        <f t="shared" ref="G4:G30" si="1">5/100*F4</f>
        <v>0.75</v>
      </c>
    </row>
    <row r="5" ht="22" customHeight="1" spans="1:7">
      <c r="A5" s="13">
        <v>3</v>
      </c>
      <c r="B5" s="98" t="s">
        <v>20</v>
      </c>
      <c r="C5" s="19">
        <v>6</v>
      </c>
      <c r="D5" s="13">
        <v>30</v>
      </c>
      <c r="E5" s="13">
        <v>28</v>
      </c>
      <c r="F5" s="99">
        <f t="shared" si="0"/>
        <v>25</v>
      </c>
      <c r="G5" s="99">
        <f t="shared" si="1"/>
        <v>1.25</v>
      </c>
    </row>
    <row r="6" ht="22" customHeight="1" spans="1:7">
      <c r="A6" s="13">
        <v>4</v>
      </c>
      <c r="B6" s="98" t="s">
        <v>15</v>
      </c>
      <c r="C6" s="19">
        <v>1</v>
      </c>
      <c r="D6" s="13">
        <v>10</v>
      </c>
      <c r="E6" s="13">
        <v>8</v>
      </c>
      <c r="F6" s="99">
        <f t="shared" si="0"/>
        <v>0</v>
      </c>
      <c r="G6" s="99">
        <f t="shared" si="1"/>
        <v>0</v>
      </c>
    </row>
    <row r="7" ht="22" customHeight="1" spans="1:7">
      <c r="A7" s="13">
        <v>5</v>
      </c>
      <c r="B7" s="98" t="s">
        <v>13</v>
      </c>
      <c r="C7" s="19">
        <v>1</v>
      </c>
      <c r="D7" s="13">
        <v>9</v>
      </c>
      <c r="E7" s="13">
        <v>9</v>
      </c>
      <c r="F7" s="99">
        <f t="shared" si="0"/>
        <v>0</v>
      </c>
      <c r="G7" s="99">
        <f t="shared" si="1"/>
        <v>0</v>
      </c>
    </row>
    <row r="8" ht="22" customHeight="1" spans="1:7">
      <c r="A8" s="13">
        <v>6</v>
      </c>
      <c r="B8" s="98" t="s">
        <v>12</v>
      </c>
      <c r="C8" s="19">
        <v>3</v>
      </c>
      <c r="D8" s="13">
        <v>15</v>
      </c>
      <c r="E8" s="13">
        <v>14</v>
      </c>
      <c r="F8" s="99">
        <f t="shared" si="0"/>
        <v>10</v>
      </c>
      <c r="G8" s="99">
        <f t="shared" si="1"/>
        <v>0.5</v>
      </c>
    </row>
    <row r="9" ht="22" customHeight="1" spans="1:7">
      <c r="A9" s="13">
        <v>7</v>
      </c>
      <c r="B9" s="98" t="s">
        <v>21</v>
      </c>
      <c r="C9" s="19">
        <v>3</v>
      </c>
      <c r="D9" s="13">
        <v>14</v>
      </c>
      <c r="E9" s="13">
        <v>11</v>
      </c>
      <c r="F9" s="99">
        <f t="shared" si="0"/>
        <v>10</v>
      </c>
      <c r="G9" s="99">
        <f t="shared" si="1"/>
        <v>0.5</v>
      </c>
    </row>
    <row r="10" ht="22" customHeight="1" spans="1:7">
      <c r="A10" s="13">
        <v>8</v>
      </c>
      <c r="B10" s="98" t="s">
        <v>8</v>
      </c>
      <c r="C10" s="19">
        <v>1</v>
      </c>
      <c r="D10" s="13">
        <v>12</v>
      </c>
      <c r="E10" s="13">
        <v>12</v>
      </c>
      <c r="F10" s="99">
        <f t="shared" si="0"/>
        <v>0</v>
      </c>
      <c r="G10" s="99">
        <f t="shared" si="1"/>
        <v>0</v>
      </c>
    </row>
    <row r="11" ht="22" customHeight="1" spans="1:7">
      <c r="A11" s="13">
        <v>9</v>
      </c>
      <c r="B11" s="98" t="s">
        <v>10</v>
      </c>
      <c r="C11" s="19">
        <v>2</v>
      </c>
      <c r="D11" s="13">
        <v>18</v>
      </c>
      <c r="E11" s="13">
        <v>15</v>
      </c>
      <c r="F11" s="99">
        <f t="shared" si="0"/>
        <v>5</v>
      </c>
      <c r="G11" s="99">
        <f t="shared" si="1"/>
        <v>0.25</v>
      </c>
    </row>
    <row r="12" ht="22" customHeight="1" spans="1:7">
      <c r="A12" s="13">
        <v>10</v>
      </c>
      <c r="B12" s="98" t="s">
        <v>17</v>
      </c>
      <c r="C12" s="19">
        <v>3</v>
      </c>
      <c r="D12" s="13">
        <v>13</v>
      </c>
      <c r="E12" s="13">
        <v>8</v>
      </c>
      <c r="F12" s="99">
        <f t="shared" si="0"/>
        <v>10</v>
      </c>
      <c r="G12" s="99">
        <f t="shared" si="1"/>
        <v>0.5</v>
      </c>
    </row>
    <row r="13" ht="22" customHeight="1" spans="1:7">
      <c r="A13" s="13">
        <v>11</v>
      </c>
      <c r="B13" s="98" t="s">
        <v>18</v>
      </c>
      <c r="C13" s="19">
        <v>2</v>
      </c>
      <c r="D13" s="13">
        <v>12</v>
      </c>
      <c r="E13" s="13">
        <v>11</v>
      </c>
      <c r="F13" s="99">
        <f t="shared" si="0"/>
        <v>5</v>
      </c>
      <c r="G13" s="99">
        <f t="shared" si="1"/>
        <v>0.25</v>
      </c>
    </row>
    <row r="14" ht="22" customHeight="1" spans="1:7">
      <c r="A14" s="13">
        <v>12</v>
      </c>
      <c r="B14" s="98" t="s">
        <v>16</v>
      </c>
      <c r="C14" s="19">
        <v>3</v>
      </c>
      <c r="D14" s="13">
        <v>9</v>
      </c>
      <c r="E14" s="13">
        <v>8</v>
      </c>
      <c r="F14" s="99">
        <f t="shared" si="0"/>
        <v>10</v>
      </c>
      <c r="G14" s="99">
        <f t="shared" si="1"/>
        <v>0.5</v>
      </c>
    </row>
    <row r="15" ht="22" customHeight="1" spans="1:7">
      <c r="A15" s="13">
        <v>13</v>
      </c>
      <c r="B15" s="98" t="s">
        <v>19</v>
      </c>
      <c r="C15" s="19">
        <v>1</v>
      </c>
      <c r="D15" s="13">
        <v>8</v>
      </c>
      <c r="E15" s="13">
        <v>6</v>
      </c>
      <c r="F15" s="99">
        <f t="shared" si="0"/>
        <v>0</v>
      </c>
      <c r="G15" s="99">
        <f t="shared" si="1"/>
        <v>0</v>
      </c>
    </row>
    <row r="16" ht="22" customHeight="1" spans="1:7">
      <c r="A16" s="13">
        <v>14</v>
      </c>
      <c r="B16" s="98" t="s">
        <v>14</v>
      </c>
      <c r="C16" s="19">
        <v>1</v>
      </c>
      <c r="D16" s="13">
        <v>8</v>
      </c>
      <c r="E16" s="13">
        <v>5</v>
      </c>
      <c r="F16" s="99">
        <f t="shared" si="0"/>
        <v>0</v>
      </c>
      <c r="G16" s="99">
        <f t="shared" si="1"/>
        <v>0</v>
      </c>
    </row>
    <row r="17" ht="22" customHeight="1" spans="1:7">
      <c r="A17" s="13">
        <v>15</v>
      </c>
      <c r="B17" s="98" t="s">
        <v>9</v>
      </c>
      <c r="C17" s="19">
        <v>1</v>
      </c>
      <c r="D17" s="13">
        <v>7</v>
      </c>
      <c r="E17" s="13">
        <v>4</v>
      </c>
      <c r="F17" s="99">
        <f t="shared" si="0"/>
        <v>0</v>
      </c>
      <c r="G17" s="99">
        <f t="shared" si="1"/>
        <v>0</v>
      </c>
    </row>
    <row r="18" ht="22" customHeight="1" spans="1:7">
      <c r="A18" s="13">
        <v>16</v>
      </c>
      <c r="B18" s="98" t="s">
        <v>34</v>
      </c>
      <c r="C18" s="19">
        <v>5</v>
      </c>
      <c r="D18" s="13">
        <v>18</v>
      </c>
      <c r="E18" s="13">
        <v>16</v>
      </c>
      <c r="F18" s="99">
        <f t="shared" si="0"/>
        <v>20</v>
      </c>
      <c r="G18" s="99">
        <f t="shared" si="1"/>
        <v>1</v>
      </c>
    </row>
    <row r="19" ht="22" customHeight="1" spans="1:7">
      <c r="A19" s="13">
        <v>17</v>
      </c>
      <c r="B19" s="98" t="s">
        <v>23</v>
      </c>
      <c r="C19" s="19">
        <v>2</v>
      </c>
      <c r="D19" s="13">
        <v>11</v>
      </c>
      <c r="E19" s="13">
        <v>8</v>
      </c>
      <c r="F19" s="99">
        <f t="shared" si="0"/>
        <v>5</v>
      </c>
      <c r="G19" s="99">
        <f t="shared" si="1"/>
        <v>0.25</v>
      </c>
    </row>
    <row r="20" ht="22" customHeight="1" spans="1:7">
      <c r="A20" s="13">
        <v>18</v>
      </c>
      <c r="B20" s="98" t="s">
        <v>22</v>
      </c>
      <c r="C20" s="19">
        <v>1</v>
      </c>
      <c r="D20" s="13">
        <v>10</v>
      </c>
      <c r="E20" s="13">
        <v>6</v>
      </c>
      <c r="F20" s="99">
        <f t="shared" si="0"/>
        <v>0</v>
      </c>
      <c r="G20" s="99">
        <f t="shared" si="1"/>
        <v>0</v>
      </c>
    </row>
    <row r="21" ht="22" customHeight="1" spans="1:7">
      <c r="A21" s="13">
        <v>19</v>
      </c>
      <c r="B21" s="98" t="s">
        <v>24</v>
      </c>
      <c r="C21" s="19">
        <v>2</v>
      </c>
      <c r="D21" s="13">
        <v>14</v>
      </c>
      <c r="E21" s="13">
        <v>9</v>
      </c>
      <c r="F21" s="99">
        <f t="shared" si="0"/>
        <v>5</v>
      </c>
      <c r="G21" s="99">
        <f t="shared" si="1"/>
        <v>0.25</v>
      </c>
    </row>
    <row r="22" ht="22" customHeight="1" spans="1:7">
      <c r="A22" s="13">
        <v>20</v>
      </c>
      <c r="B22" s="98" t="s">
        <v>32</v>
      </c>
      <c r="C22" s="19">
        <v>2</v>
      </c>
      <c r="D22" s="13">
        <v>12</v>
      </c>
      <c r="E22" s="13">
        <v>5</v>
      </c>
      <c r="F22" s="99">
        <f t="shared" si="0"/>
        <v>5</v>
      </c>
      <c r="G22" s="99">
        <f t="shared" si="1"/>
        <v>0.25</v>
      </c>
    </row>
    <row r="23" ht="22" customHeight="1" spans="1:7">
      <c r="A23" s="13">
        <v>21</v>
      </c>
      <c r="B23" s="98" t="s">
        <v>33</v>
      </c>
      <c r="C23" s="19">
        <v>3</v>
      </c>
      <c r="D23" s="13">
        <v>13</v>
      </c>
      <c r="E23" s="13">
        <v>13</v>
      </c>
      <c r="F23" s="99">
        <f t="shared" si="0"/>
        <v>10</v>
      </c>
      <c r="G23" s="99">
        <f t="shared" si="1"/>
        <v>0.5</v>
      </c>
    </row>
    <row r="24" ht="22" customHeight="1" spans="1:7">
      <c r="A24" s="13">
        <v>22</v>
      </c>
      <c r="B24" s="98" t="s">
        <v>27</v>
      </c>
      <c r="C24" s="19">
        <v>1</v>
      </c>
      <c r="D24" s="13">
        <v>13</v>
      </c>
      <c r="E24" s="13">
        <v>13</v>
      </c>
      <c r="F24" s="99">
        <f t="shared" si="0"/>
        <v>0</v>
      </c>
      <c r="G24" s="99">
        <f t="shared" si="1"/>
        <v>0</v>
      </c>
    </row>
    <row r="25" ht="22" customHeight="1" spans="1:7">
      <c r="A25" s="13">
        <v>23</v>
      </c>
      <c r="B25" s="98" t="s">
        <v>28</v>
      </c>
      <c r="C25" s="19">
        <v>1</v>
      </c>
      <c r="D25" s="13">
        <v>11</v>
      </c>
      <c r="E25" s="13">
        <v>8</v>
      </c>
      <c r="F25" s="99">
        <f t="shared" si="0"/>
        <v>0</v>
      </c>
      <c r="G25" s="99">
        <f t="shared" si="1"/>
        <v>0</v>
      </c>
    </row>
    <row r="26" ht="22" customHeight="1" spans="1:7">
      <c r="A26" s="13">
        <v>24</v>
      </c>
      <c r="B26" s="98" t="s">
        <v>29</v>
      </c>
      <c r="C26" s="19">
        <v>2</v>
      </c>
      <c r="D26" s="13">
        <v>7</v>
      </c>
      <c r="E26" s="13">
        <v>7</v>
      </c>
      <c r="F26" s="99">
        <f t="shared" si="0"/>
        <v>5</v>
      </c>
      <c r="G26" s="99">
        <f t="shared" si="1"/>
        <v>0.25</v>
      </c>
    </row>
    <row r="27" ht="22" customHeight="1" spans="1:7">
      <c r="A27" s="13">
        <v>25</v>
      </c>
      <c r="B27" s="98" t="s">
        <v>31</v>
      </c>
      <c r="C27" s="19">
        <v>4</v>
      </c>
      <c r="D27" s="13">
        <v>20</v>
      </c>
      <c r="E27" s="13">
        <v>15</v>
      </c>
      <c r="F27" s="99">
        <f t="shared" si="0"/>
        <v>15</v>
      </c>
      <c r="G27" s="99">
        <f t="shared" si="1"/>
        <v>0.75</v>
      </c>
    </row>
    <row r="28" ht="22" customHeight="1" spans="1:7">
      <c r="A28" s="13">
        <v>26</v>
      </c>
      <c r="B28" s="98" t="s">
        <v>26</v>
      </c>
      <c r="C28" s="19">
        <v>2</v>
      </c>
      <c r="D28" s="13">
        <v>10</v>
      </c>
      <c r="E28" s="13">
        <v>8</v>
      </c>
      <c r="F28" s="99">
        <f t="shared" si="0"/>
        <v>5</v>
      </c>
      <c r="G28" s="99">
        <f t="shared" si="1"/>
        <v>0.25</v>
      </c>
    </row>
    <row r="29" ht="22" customHeight="1" spans="1:7">
      <c r="A29" s="13">
        <v>27</v>
      </c>
      <c r="B29" s="98" t="s">
        <v>25</v>
      </c>
      <c r="C29" s="19">
        <v>2</v>
      </c>
      <c r="D29" s="13">
        <v>9</v>
      </c>
      <c r="E29" s="13">
        <v>5</v>
      </c>
      <c r="F29" s="99">
        <f t="shared" si="0"/>
        <v>5</v>
      </c>
      <c r="G29" s="99">
        <f t="shared" si="1"/>
        <v>0.25</v>
      </c>
    </row>
    <row r="30" ht="22" customHeight="1" spans="1:7">
      <c r="A30" s="13">
        <v>28</v>
      </c>
      <c r="B30" s="98" t="s">
        <v>30</v>
      </c>
      <c r="C30" s="19">
        <v>1</v>
      </c>
      <c r="D30" s="13">
        <v>7</v>
      </c>
      <c r="E30" s="13">
        <v>6</v>
      </c>
      <c r="F30" s="99">
        <f t="shared" si="0"/>
        <v>0</v>
      </c>
      <c r="G30" s="99">
        <f t="shared" si="1"/>
        <v>0</v>
      </c>
    </row>
    <row r="31" ht="24" customHeight="1" spans="1:7">
      <c r="A31" s="100" t="s">
        <v>81</v>
      </c>
      <c r="B31" s="101"/>
      <c r="C31" s="102">
        <f>SUM(C3:C30)</f>
        <v>81</v>
      </c>
      <c r="D31" s="102">
        <f>SUM(D3:D30)</f>
        <v>388</v>
      </c>
      <c r="E31" s="102">
        <f>SUM(E3:E30)</f>
        <v>314</v>
      </c>
      <c r="F31" s="102"/>
      <c r="G31" s="102"/>
    </row>
    <row r="32" customHeight="1" spans="1:7">
      <c r="A32" s="103"/>
      <c r="B32" s="104"/>
      <c r="C32" s="103"/>
      <c r="D32" s="103"/>
      <c r="E32" s="103"/>
    </row>
    <row r="33" customHeight="1" spans="1:5">
      <c r="A33" s="103"/>
      <c r="B33" s="104"/>
      <c r="C33" s="103"/>
      <c r="D33" s="103"/>
      <c r="E33" s="103"/>
    </row>
    <row r="34" customHeight="1" spans="1:5">
      <c r="A34" s="103"/>
      <c r="B34" s="104"/>
      <c r="C34" s="103"/>
      <c r="D34" s="103"/>
      <c r="E34" s="103"/>
    </row>
    <row r="35" customHeight="1" spans="1:5">
      <c r="A35" s="103"/>
      <c r="B35" s="104"/>
      <c r="C35" s="103"/>
      <c r="D35" s="103"/>
      <c r="E35" s="103"/>
    </row>
    <row r="36" customHeight="1" spans="1:5">
      <c r="A36" s="103"/>
      <c r="B36" s="104"/>
      <c r="C36" s="103"/>
      <c r="D36" s="103"/>
      <c r="E36" s="103"/>
    </row>
    <row r="37" customHeight="1" spans="1:5">
      <c r="A37" s="103"/>
      <c r="B37" s="104"/>
      <c r="C37" s="103"/>
      <c r="D37" s="103"/>
      <c r="E37" s="103"/>
    </row>
    <row r="38" customHeight="1" spans="1:5">
      <c r="A38" s="103"/>
      <c r="B38" s="104"/>
      <c r="C38" s="103"/>
      <c r="D38" s="103"/>
      <c r="E38" s="103"/>
    </row>
    <row r="39" customHeight="1" spans="1:5">
      <c r="A39" s="103"/>
      <c r="B39" s="104"/>
      <c r="C39" s="103"/>
      <c r="D39" s="103"/>
      <c r="E39" s="103"/>
    </row>
    <row r="40" customHeight="1" spans="1:5">
      <c r="A40" s="103"/>
      <c r="B40" s="104"/>
      <c r="C40" s="103"/>
      <c r="D40" s="103"/>
      <c r="E40" s="103"/>
    </row>
    <row r="41" customHeight="1" spans="1:5">
      <c r="A41" s="103"/>
      <c r="B41" s="104"/>
      <c r="C41" s="103"/>
      <c r="D41" s="103"/>
      <c r="E41" s="103"/>
    </row>
    <row r="42" customHeight="1" spans="1:5">
      <c r="A42" s="103"/>
      <c r="B42" s="104"/>
      <c r="C42" s="103"/>
      <c r="D42" s="103"/>
      <c r="E42" s="103"/>
    </row>
    <row r="43" customHeight="1" spans="1:5">
      <c r="A43" s="103"/>
      <c r="B43" s="104"/>
      <c r="C43" s="103"/>
      <c r="D43" s="103"/>
      <c r="E43" s="103"/>
    </row>
    <row r="44" customHeight="1" spans="1:5">
      <c r="A44" s="103"/>
      <c r="B44" s="104"/>
      <c r="C44" s="103"/>
      <c r="D44" s="103"/>
      <c r="E44" s="103"/>
    </row>
    <row r="45" customHeight="1" spans="1:5">
      <c r="A45" s="103"/>
      <c r="B45" s="104"/>
      <c r="C45" s="103"/>
      <c r="D45" s="103"/>
      <c r="E45" s="103"/>
    </row>
    <row r="46" customHeight="1" spans="1:5">
      <c r="A46" s="103"/>
      <c r="B46" s="104"/>
      <c r="C46" s="103"/>
      <c r="D46" s="103"/>
      <c r="E46" s="103"/>
    </row>
    <row r="47" customHeight="1" spans="1:5">
      <c r="A47" s="103"/>
      <c r="B47" s="104"/>
      <c r="C47" s="103"/>
      <c r="D47" s="103"/>
      <c r="E47" s="103"/>
    </row>
    <row r="48" customHeight="1" spans="1:5">
      <c r="A48" s="103"/>
      <c r="B48" s="104"/>
      <c r="C48" s="103"/>
      <c r="D48" s="103"/>
      <c r="E48" s="103"/>
    </row>
    <row r="49" customHeight="1" spans="1:5">
      <c r="A49" s="103"/>
      <c r="B49" s="104"/>
      <c r="C49" s="103"/>
      <c r="D49" s="103"/>
      <c r="E49" s="103"/>
    </row>
    <row r="50" customHeight="1" spans="1:5">
      <c r="A50" s="103"/>
      <c r="B50" s="104"/>
      <c r="C50" s="103"/>
      <c r="D50" s="103"/>
      <c r="E50" s="103"/>
    </row>
    <row r="51" customHeight="1" spans="1:5">
      <c r="A51" s="103"/>
      <c r="B51" s="104"/>
      <c r="C51" s="103"/>
      <c r="D51" s="103"/>
      <c r="E51" s="103"/>
    </row>
    <row r="52" customHeight="1" spans="1:5">
      <c r="A52" s="103"/>
      <c r="B52" s="104"/>
      <c r="C52" s="103"/>
      <c r="D52" s="103"/>
      <c r="E52" s="103"/>
    </row>
    <row r="53" customHeight="1" spans="1:5">
      <c r="A53" s="103"/>
      <c r="B53" s="104"/>
      <c r="C53" s="103"/>
      <c r="D53" s="103"/>
      <c r="E53" s="103"/>
    </row>
    <row r="54" customHeight="1" spans="1:5">
      <c r="A54" s="103"/>
      <c r="B54" s="104"/>
      <c r="C54" s="103"/>
      <c r="D54" s="103"/>
      <c r="E54" s="103"/>
    </row>
    <row r="55" customHeight="1" spans="1:5">
      <c r="A55" s="103"/>
      <c r="B55" s="104"/>
      <c r="C55" s="103"/>
      <c r="D55" s="103"/>
      <c r="E55" s="103"/>
    </row>
    <row r="56" customHeight="1" spans="1:5">
      <c r="A56" s="103"/>
      <c r="B56" s="104"/>
      <c r="C56" s="103"/>
      <c r="D56" s="103"/>
      <c r="E56" s="103"/>
    </row>
    <row r="57" customHeight="1" spans="1:5">
      <c r="A57" s="103"/>
      <c r="B57" s="104"/>
      <c r="C57" s="103"/>
      <c r="D57" s="103"/>
      <c r="E57" s="103"/>
    </row>
    <row r="58" customHeight="1" spans="1:5">
      <c r="A58" s="103"/>
      <c r="B58" s="104"/>
      <c r="C58" s="103"/>
      <c r="D58" s="103"/>
      <c r="E58" s="103"/>
    </row>
    <row r="59" customHeight="1" spans="1:5">
      <c r="A59" s="103"/>
      <c r="B59" s="104"/>
      <c r="C59" s="103"/>
      <c r="D59" s="103"/>
      <c r="E59" s="103"/>
    </row>
    <row r="60" customHeight="1" spans="1:5">
      <c r="A60" s="103"/>
      <c r="B60" s="104"/>
      <c r="C60" s="103"/>
      <c r="D60" s="103"/>
      <c r="E60" s="103"/>
    </row>
    <row r="61" customHeight="1" spans="1:5">
      <c r="A61" s="103"/>
      <c r="B61" s="104"/>
      <c r="C61" s="103"/>
      <c r="D61" s="103"/>
      <c r="E61" s="103"/>
    </row>
    <row r="62" customHeight="1" spans="1:5">
      <c r="A62" s="103"/>
      <c r="B62" s="104"/>
      <c r="C62" s="103"/>
      <c r="D62" s="103"/>
      <c r="E62" s="103"/>
    </row>
    <row r="63" customHeight="1" spans="1:5">
      <c r="A63" s="103"/>
      <c r="B63" s="104"/>
      <c r="C63" s="103"/>
      <c r="D63" s="103"/>
      <c r="E63" s="103"/>
    </row>
    <row r="64" customHeight="1" spans="1:5">
      <c r="A64" s="103"/>
      <c r="B64" s="104"/>
      <c r="C64" s="103"/>
      <c r="D64" s="103"/>
      <c r="E64" s="103"/>
    </row>
    <row r="65" customHeight="1" spans="1:5">
      <c r="A65" s="103"/>
      <c r="B65" s="104"/>
      <c r="C65" s="103"/>
      <c r="D65" s="103"/>
      <c r="E65" s="103"/>
    </row>
    <row r="66" customHeight="1" spans="1:5">
      <c r="A66" s="103"/>
      <c r="B66" s="104"/>
      <c r="C66" s="103"/>
      <c r="D66" s="103"/>
      <c r="E66" s="103"/>
    </row>
    <row r="67" customHeight="1" spans="1:5">
      <c r="A67" s="103"/>
      <c r="B67" s="104"/>
      <c r="C67" s="103"/>
      <c r="D67" s="103"/>
      <c r="E67" s="103"/>
    </row>
    <row r="68" customHeight="1" spans="1:5">
      <c r="A68" s="103"/>
      <c r="B68" s="104"/>
      <c r="C68" s="103"/>
      <c r="D68" s="103"/>
      <c r="E68" s="103"/>
    </row>
    <row r="69" customHeight="1" spans="1:5">
      <c r="A69" s="103"/>
      <c r="B69" s="104"/>
      <c r="C69" s="103"/>
      <c r="D69" s="103"/>
      <c r="E69" s="103"/>
    </row>
    <row r="70" customHeight="1" spans="1:5">
      <c r="A70" s="103"/>
      <c r="B70" s="104"/>
      <c r="C70" s="103"/>
      <c r="D70" s="103"/>
      <c r="E70" s="103"/>
    </row>
    <row r="71" customHeight="1" spans="1:5">
      <c r="A71" s="103"/>
      <c r="B71" s="104"/>
      <c r="C71" s="103"/>
      <c r="D71" s="103"/>
      <c r="E71" s="103"/>
    </row>
    <row r="72" customHeight="1" spans="1:5">
      <c r="A72" s="103"/>
      <c r="B72" s="104"/>
      <c r="C72" s="103"/>
      <c r="D72" s="103"/>
      <c r="E72" s="103"/>
    </row>
    <row r="73" customHeight="1" spans="1:5">
      <c r="A73" s="103"/>
      <c r="B73" s="104"/>
      <c r="C73" s="103"/>
      <c r="D73" s="103"/>
      <c r="E73" s="103"/>
    </row>
    <row r="74" customHeight="1" spans="1:5">
      <c r="A74" s="103"/>
      <c r="B74" s="104"/>
      <c r="C74" s="103"/>
      <c r="D74" s="103"/>
      <c r="E74" s="103"/>
    </row>
    <row r="75" customHeight="1" spans="1:5">
      <c r="A75" s="103"/>
      <c r="B75" s="104"/>
      <c r="C75" s="103"/>
      <c r="D75" s="103"/>
      <c r="E75" s="103"/>
    </row>
    <row r="76" customHeight="1" spans="1:5">
      <c r="A76" s="103"/>
      <c r="B76" s="104"/>
      <c r="C76" s="103"/>
      <c r="D76" s="103"/>
      <c r="E76" s="103"/>
    </row>
    <row r="77" customHeight="1" spans="1:5">
      <c r="A77" s="103"/>
      <c r="B77" s="104"/>
      <c r="C77" s="103"/>
      <c r="D77" s="103"/>
      <c r="E77" s="103"/>
    </row>
    <row r="78" customHeight="1" spans="1:5">
      <c r="A78" s="103"/>
      <c r="B78" s="104"/>
      <c r="C78" s="103"/>
      <c r="D78" s="103"/>
      <c r="E78" s="103"/>
    </row>
    <row r="79" customHeight="1" spans="1:5">
      <c r="A79" s="103"/>
      <c r="B79" s="104"/>
      <c r="C79" s="103"/>
      <c r="D79" s="103"/>
      <c r="E79" s="103"/>
    </row>
    <row r="80" customHeight="1" spans="1:5">
      <c r="A80" s="103"/>
      <c r="B80" s="104"/>
      <c r="C80" s="103"/>
      <c r="D80" s="103"/>
      <c r="E80" s="103"/>
    </row>
    <row r="81" customHeight="1" spans="1:5">
      <c r="A81" s="103"/>
      <c r="B81" s="104"/>
      <c r="C81" s="103"/>
      <c r="D81" s="103"/>
      <c r="E81" s="103"/>
    </row>
    <row r="82" customHeight="1" spans="1:5">
      <c r="A82" s="103"/>
      <c r="B82" s="104"/>
      <c r="C82" s="103"/>
      <c r="D82" s="103"/>
      <c r="E82" s="103"/>
    </row>
    <row r="83" customHeight="1" spans="1:5">
      <c r="A83" s="103"/>
      <c r="B83" s="104"/>
      <c r="C83" s="103"/>
      <c r="D83" s="103"/>
      <c r="E83" s="103"/>
    </row>
    <row r="84" customHeight="1" spans="1:5">
      <c r="A84" s="103"/>
      <c r="B84" s="104"/>
      <c r="C84" s="103"/>
      <c r="D84" s="103"/>
      <c r="E84" s="103"/>
    </row>
    <row r="85" customHeight="1" spans="1:5">
      <c r="A85" s="103"/>
      <c r="B85" s="104"/>
      <c r="C85" s="103"/>
      <c r="D85" s="103"/>
      <c r="E85" s="103"/>
    </row>
    <row r="86" customHeight="1" spans="1:5">
      <c r="A86" s="103"/>
      <c r="B86" s="104"/>
      <c r="C86" s="103"/>
      <c r="D86" s="103"/>
      <c r="E86" s="103"/>
    </row>
    <row r="87" customHeight="1" spans="1:5">
      <c r="A87" s="103"/>
      <c r="B87" s="104"/>
      <c r="C87" s="103"/>
      <c r="D87" s="103"/>
      <c r="E87" s="103"/>
    </row>
    <row r="88" customHeight="1" spans="1:5">
      <c r="A88" s="103"/>
      <c r="B88" s="104"/>
      <c r="C88" s="103"/>
      <c r="D88" s="103"/>
      <c r="E88" s="103"/>
    </row>
    <row r="89" customHeight="1" spans="1:5">
      <c r="A89" s="103"/>
      <c r="B89" s="104"/>
      <c r="C89" s="103"/>
      <c r="D89" s="103"/>
      <c r="E89" s="103"/>
    </row>
    <row r="90" customHeight="1" spans="1:5">
      <c r="A90" s="103"/>
      <c r="B90" s="104"/>
      <c r="C90" s="103"/>
      <c r="D90" s="103"/>
      <c r="E90" s="103"/>
    </row>
    <row r="91" customHeight="1" spans="1:5">
      <c r="A91" s="103"/>
      <c r="B91" s="104"/>
      <c r="C91" s="103"/>
      <c r="D91" s="103"/>
      <c r="E91" s="103"/>
    </row>
    <row r="92" customHeight="1" spans="1:5">
      <c r="A92" s="103"/>
      <c r="B92" s="104"/>
      <c r="C92" s="103"/>
      <c r="D92" s="103"/>
      <c r="E92" s="103"/>
    </row>
    <row r="93" customHeight="1" spans="1:5">
      <c r="A93" s="103"/>
      <c r="B93" s="104"/>
      <c r="C93" s="103"/>
      <c r="D93" s="103"/>
      <c r="E93" s="103"/>
    </row>
    <row r="94" customHeight="1" spans="1:5">
      <c r="A94" s="103"/>
      <c r="B94" s="104"/>
      <c r="C94" s="103"/>
      <c r="D94" s="103"/>
      <c r="E94" s="103"/>
    </row>
    <row r="95" customHeight="1" spans="1:5">
      <c r="A95" s="103"/>
      <c r="B95" s="104"/>
      <c r="C95" s="103"/>
      <c r="D95" s="103"/>
      <c r="E95" s="103"/>
    </row>
    <row r="96" customHeight="1" spans="1:5">
      <c r="A96" s="103"/>
      <c r="B96" s="104"/>
      <c r="C96" s="103"/>
      <c r="D96" s="103"/>
      <c r="E96" s="103"/>
    </row>
    <row r="97" customHeight="1" spans="1:5">
      <c r="A97" s="103"/>
      <c r="B97" s="104"/>
      <c r="C97" s="103"/>
      <c r="D97" s="103"/>
      <c r="E97" s="103"/>
    </row>
    <row r="98" customHeight="1" spans="1:5">
      <c r="A98" s="103"/>
      <c r="B98" s="104"/>
      <c r="C98" s="103"/>
      <c r="D98" s="103"/>
      <c r="E98" s="103"/>
    </row>
    <row r="99" customHeight="1" spans="1:5">
      <c r="A99" s="103"/>
      <c r="B99" s="104"/>
      <c r="C99" s="103"/>
      <c r="D99" s="103"/>
      <c r="E99" s="103"/>
    </row>
    <row r="100" customHeight="1" spans="1:5">
      <c r="A100" s="103"/>
      <c r="B100" s="104"/>
      <c r="C100" s="103"/>
      <c r="D100" s="103"/>
      <c r="E100" s="103"/>
    </row>
    <row r="101" customHeight="1" spans="1:5">
      <c r="A101" s="103"/>
      <c r="B101" s="104"/>
      <c r="C101" s="103"/>
      <c r="D101" s="103"/>
      <c r="E101" s="103"/>
    </row>
    <row r="102" customHeight="1" spans="1:5">
      <c r="A102" s="103"/>
      <c r="B102" s="104"/>
      <c r="C102" s="103"/>
      <c r="D102" s="103"/>
      <c r="E102" s="103"/>
    </row>
    <row r="103" customHeight="1" spans="1:5">
      <c r="A103" s="103"/>
      <c r="B103" s="104"/>
      <c r="C103" s="103"/>
      <c r="D103" s="103"/>
      <c r="E103" s="103"/>
    </row>
    <row r="104" customHeight="1" spans="1:5">
      <c r="A104" s="103"/>
      <c r="B104" s="104"/>
      <c r="C104" s="103"/>
      <c r="D104" s="103"/>
      <c r="E104" s="103"/>
    </row>
    <row r="105" customHeight="1" spans="1:5">
      <c r="A105" s="103"/>
      <c r="B105" s="104"/>
      <c r="C105" s="103"/>
      <c r="D105" s="103"/>
      <c r="E105" s="103"/>
    </row>
    <row r="106" customHeight="1" spans="1:5">
      <c r="A106" s="103"/>
      <c r="B106" s="104"/>
      <c r="C106" s="103"/>
      <c r="D106" s="103"/>
      <c r="E106" s="103"/>
    </row>
    <row r="107" customHeight="1" spans="1:5">
      <c r="A107" s="103"/>
      <c r="B107" s="104"/>
      <c r="C107" s="103"/>
      <c r="D107" s="103"/>
      <c r="E107" s="103"/>
    </row>
    <row r="108" customHeight="1" spans="1:5">
      <c r="A108" s="103"/>
      <c r="B108" s="104"/>
      <c r="C108" s="103"/>
      <c r="D108" s="103"/>
      <c r="E108" s="103"/>
    </row>
    <row r="109" customHeight="1" spans="1:5">
      <c r="A109" s="103"/>
      <c r="B109" s="104"/>
      <c r="C109" s="103"/>
      <c r="D109" s="103"/>
      <c r="E109" s="103"/>
    </row>
    <row r="110" customHeight="1" spans="1:5">
      <c r="A110" s="103"/>
      <c r="B110" s="104"/>
      <c r="C110" s="103"/>
      <c r="D110" s="103"/>
      <c r="E110" s="103"/>
    </row>
    <row r="111" customHeight="1" spans="1:5">
      <c r="A111" s="103"/>
      <c r="B111" s="104"/>
      <c r="C111" s="103"/>
      <c r="D111" s="103"/>
      <c r="E111" s="103"/>
    </row>
    <row r="112" customHeight="1" spans="1:5">
      <c r="A112" s="103"/>
      <c r="B112" s="104"/>
      <c r="C112" s="103"/>
      <c r="D112" s="103"/>
      <c r="E112" s="103"/>
    </row>
    <row r="113" customHeight="1" spans="1:5">
      <c r="A113" s="103"/>
      <c r="B113" s="104"/>
      <c r="C113" s="103"/>
      <c r="D113" s="103"/>
      <c r="E113" s="103"/>
    </row>
    <row r="114" customHeight="1" spans="1:5">
      <c r="A114" s="103"/>
      <c r="B114" s="104"/>
      <c r="C114" s="103"/>
      <c r="D114" s="103"/>
      <c r="E114" s="103"/>
    </row>
    <row r="115" customHeight="1" spans="1:5">
      <c r="A115" s="103"/>
      <c r="B115" s="104"/>
      <c r="C115" s="103"/>
      <c r="D115" s="103"/>
      <c r="E115" s="103"/>
    </row>
    <row r="116" customHeight="1" spans="1:5">
      <c r="A116" s="103"/>
      <c r="B116" s="104"/>
      <c r="C116" s="103"/>
      <c r="D116" s="103"/>
      <c r="E116" s="103"/>
    </row>
    <row r="117" customHeight="1" spans="1:5">
      <c r="A117" s="103"/>
      <c r="B117" s="104"/>
      <c r="C117" s="103"/>
      <c r="D117" s="103"/>
      <c r="E117" s="103"/>
    </row>
    <row r="118" customHeight="1" spans="1:5">
      <c r="A118" s="103"/>
      <c r="B118" s="104"/>
      <c r="C118" s="103"/>
      <c r="D118" s="103"/>
      <c r="E118" s="103"/>
    </row>
    <row r="119" customHeight="1" spans="1:5">
      <c r="A119" s="103"/>
      <c r="B119" s="104"/>
      <c r="C119" s="103"/>
      <c r="D119" s="103"/>
      <c r="E119" s="103"/>
    </row>
    <row r="120" customHeight="1" spans="1:5">
      <c r="A120" s="103"/>
      <c r="B120" s="104"/>
      <c r="C120" s="103"/>
      <c r="D120" s="103"/>
      <c r="E120" s="103"/>
    </row>
    <row r="121" customHeight="1" spans="1:5">
      <c r="A121" s="103"/>
      <c r="B121" s="104"/>
      <c r="C121" s="103"/>
      <c r="D121" s="103"/>
      <c r="E121" s="103"/>
    </row>
    <row r="122" customHeight="1" spans="1:5">
      <c r="A122" s="103"/>
      <c r="B122" s="104"/>
      <c r="C122" s="103"/>
      <c r="D122" s="103"/>
      <c r="E122" s="103"/>
    </row>
    <row r="123" customHeight="1" spans="1:5">
      <c r="A123" s="103"/>
      <c r="B123" s="104"/>
      <c r="C123" s="103"/>
      <c r="D123" s="103"/>
      <c r="E123" s="103"/>
    </row>
    <row r="124" customHeight="1" spans="1:5">
      <c r="A124" s="103"/>
      <c r="B124" s="104"/>
      <c r="C124" s="103"/>
      <c r="D124" s="103"/>
      <c r="E124" s="103"/>
    </row>
    <row r="125" customHeight="1" spans="1:5">
      <c r="A125" s="103"/>
      <c r="B125" s="104"/>
      <c r="C125" s="103"/>
      <c r="D125" s="103"/>
      <c r="E125" s="103"/>
    </row>
    <row r="126" customHeight="1" spans="1:5">
      <c r="A126" s="103"/>
      <c r="B126" s="104"/>
      <c r="C126" s="103"/>
      <c r="D126" s="103"/>
      <c r="E126" s="103"/>
    </row>
    <row r="127" customHeight="1" spans="1:5">
      <c r="A127" s="103"/>
      <c r="B127" s="104"/>
      <c r="C127" s="103"/>
      <c r="D127" s="103"/>
      <c r="E127" s="103"/>
    </row>
    <row r="128" customHeight="1" spans="1:5">
      <c r="A128" s="103"/>
      <c r="B128" s="104"/>
      <c r="C128" s="103"/>
      <c r="D128" s="103"/>
      <c r="E128" s="103"/>
    </row>
    <row r="129" customHeight="1" spans="1:5">
      <c r="A129" s="103"/>
      <c r="B129" s="104"/>
      <c r="C129" s="103"/>
      <c r="D129" s="103"/>
      <c r="E129" s="103"/>
    </row>
    <row r="130" customHeight="1" spans="1:5">
      <c r="A130" s="103"/>
      <c r="B130" s="104"/>
      <c r="C130" s="103"/>
      <c r="D130" s="103"/>
      <c r="E130" s="103"/>
    </row>
    <row r="131" customHeight="1" spans="1:5">
      <c r="A131" s="103"/>
      <c r="B131" s="104"/>
      <c r="C131" s="103"/>
      <c r="D131" s="103"/>
      <c r="E131" s="103"/>
    </row>
    <row r="132" customHeight="1" spans="1:5">
      <c r="A132" s="103"/>
      <c r="B132" s="104"/>
      <c r="C132" s="103"/>
      <c r="D132" s="103"/>
      <c r="E132" s="103"/>
    </row>
    <row r="133" customHeight="1" spans="1:5">
      <c r="A133" s="103"/>
      <c r="B133" s="104"/>
      <c r="C133" s="103"/>
      <c r="D133" s="103"/>
      <c r="E133" s="103"/>
    </row>
    <row r="134" customHeight="1" spans="1:5">
      <c r="A134" s="103"/>
      <c r="B134" s="104"/>
      <c r="C134" s="103"/>
      <c r="D134" s="103"/>
      <c r="E134" s="103"/>
    </row>
    <row r="135" customHeight="1" spans="1:5">
      <c r="A135" s="103"/>
      <c r="B135" s="104"/>
      <c r="C135" s="103"/>
      <c r="D135" s="103"/>
      <c r="E135" s="103"/>
    </row>
    <row r="136" customHeight="1" spans="1:5">
      <c r="A136" s="103"/>
      <c r="B136" s="104"/>
      <c r="C136" s="103"/>
      <c r="D136" s="103"/>
      <c r="E136" s="103"/>
    </row>
    <row r="137" customHeight="1" spans="1:5">
      <c r="A137" s="103"/>
      <c r="B137" s="104"/>
      <c r="C137" s="103"/>
      <c r="D137" s="103"/>
      <c r="E137" s="103"/>
    </row>
    <row r="138" customHeight="1" spans="1:5">
      <c r="A138" s="103"/>
      <c r="B138" s="104"/>
      <c r="C138" s="103"/>
      <c r="D138" s="103"/>
      <c r="E138" s="103"/>
    </row>
    <row r="139" customHeight="1" spans="1:5">
      <c r="A139" s="103"/>
      <c r="B139" s="104"/>
      <c r="C139" s="103"/>
      <c r="D139" s="103"/>
      <c r="E139" s="103"/>
    </row>
    <row r="140" customHeight="1" spans="1:5">
      <c r="A140" s="103"/>
      <c r="B140" s="104"/>
      <c r="C140" s="103"/>
      <c r="D140" s="103"/>
      <c r="E140" s="103"/>
    </row>
    <row r="141" customHeight="1" spans="1:5">
      <c r="A141" s="103"/>
      <c r="B141" s="104"/>
      <c r="C141" s="103"/>
      <c r="D141" s="103"/>
      <c r="E141" s="103"/>
    </row>
    <row r="142" customHeight="1" spans="1:5">
      <c r="A142" s="103"/>
      <c r="B142" s="104"/>
      <c r="C142" s="103"/>
      <c r="D142" s="103"/>
      <c r="E142" s="103"/>
    </row>
    <row r="143" customHeight="1" spans="1:5">
      <c r="A143" s="103"/>
      <c r="B143" s="104"/>
      <c r="C143" s="103"/>
      <c r="D143" s="103"/>
      <c r="E143" s="103"/>
    </row>
    <row r="144" customHeight="1" spans="1:5">
      <c r="A144" s="103"/>
      <c r="B144" s="104"/>
      <c r="C144" s="103"/>
      <c r="D144" s="103"/>
      <c r="E144" s="103"/>
    </row>
    <row r="145" customHeight="1" spans="1:5">
      <c r="A145" s="103"/>
      <c r="B145" s="104"/>
      <c r="C145" s="103"/>
      <c r="D145" s="103"/>
      <c r="E145" s="103"/>
    </row>
    <row r="146" customHeight="1" spans="1:5">
      <c r="A146" s="103"/>
      <c r="B146" s="104"/>
      <c r="C146" s="103"/>
      <c r="D146" s="103"/>
      <c r="E146" s="103"/>
    </row>
    <row r="147" customHeight="1" spans="1:5">
      <c r="A147" s="103"/>
      <c r="B147" s="104"/>
      <c r="C147" s="103"/>
      <c r="D147" s="103"/>
      <c r="E147" s="103"/>
    </row>
    <row r="148" customHeight="1" spans="1:5">
      <c r="A148" s="103"/>
      <c r="B148" s="104"/>
      <c r="C148" s="103"/>
      <c r="D148" s="103"/>
      <c r="E148" s="103"/>
    </row>
    <row r="149" customHeight="1" spans="1:5">
      <c r="A149" s="103"/>
      <c r="B149" s="104"/>
      <c r="C149" s="103"/>
      <c r="D149" s="103"/>
      <c r="E149" s="103"/>
    </row>
    <row r="150" customHeight="1" spans="1:5">
      <c r="A150" s="103"/>
      <c r="B150" s="104"/>
      <c r="C150" s="103"/>
      <c r="D150" s="103"/>
      <c r="E150" s="103"/>
    </row>
    <row r="151" customHeight="1" spans="1:5">
      <c r="A151" s="103"/>
      <c r="B151" s="104"/>
      <c r="C151" s="103"/>
      <c r="D151" s="103"/>
      <c r="E151" s="103"/>
    </row>
    <row r="152" customHeight="1" spans="1:5">
      <c r="A152" s="103"/>
      <c r="B152" s="104"/>
      <c r="C152" s="103"/>
      <c r="D152" s="103"/>
      <c r="E152" s="103"/>
    </row>
    <row r="153" customHeight="1" spans="1:5">
      <c r="A153" s="103"/>
      <c r="B153" s="104"/>
      <c r="C153" s="103"/>
      <c r="D153" s="103"/>
      <c r="E153" s="103"/>
    </row>
    <row r="154" customHeight="1" spans="1:5">
      <c r="A154" s="103"/>
      <c r="B154" s="104"/>
      <c r="C154" s="103"/>
      <c r="D154" s="103"/>
      <c r="E154" s="103"/>
    </row>
    <row r="155" customHeight="1" spans="1:5">
      <c r="A155" s="103"/>
      <c r="B155" s="104"/>
      <c r="C155" s="103"/>
      <c r="D155" s="103"/>
      <c r="E155" s="103"/>
    </row>
    <row r="156" customHeight="1" spans="1:5">
      <c r="A156" s="103"/>
      <c r="B156" s="104"/>
      <c r="C156" s="103"/>
      <c r="D156" s="103"/>
      <c r="E156" s="103"/>
    </row>
    <row r="157" customHeight="1" spans="1:5">
      <c r="A157" s="103"/>
      <c r="B157" s="104"/>
      <c r="C157" s="103"/>
      <c r="D157" s="103"/>
      <c r="E157" s="103"/>
    </row>
    <row r="158" customHeight="1" spans="1:5">
      <c r="A158" s="103"/>
      <c r="B158" s="104"/>
      <c r="C158" s="103"/>
      <c r="D158" s="103"/>
      <c r="E158" s="103"/>
    </row>
    <row r="159" customHeight="1" spans="1:5">
      <c r="A159" s="103"/>
      <c r="B159" s="104"/>
      <c r="C159" s="103"/>
      <c r="D159" s="103"/>
      <c r="E159" s="103"/>
    </row>
    <row r="160" customHeight="1" spans="1:5">
      <c r="A160" s="103"/>
      <c r="B160" s="104"/>
      <c r="C160" s="103"/>
      <c r="D160" s="103"/>
      <c r="E160" s="103"/>
    </row>
    <row r="161" customHeight="1" spans="1:5">
      <c r="A161" s="103"/>
      <c r="B161" s="104"/>
      <c r="C161" s="103"/>
      <c r="D161" s="103"/>
      <c r="E161" s="103"/>
    </row>
    <row r="162" customHeight="1" spans="1:5">
      <c r="A162" s="103"/>
      <c r="B162" s="104"/>
      <c r="C162" s="103"/>
      <c r="D162" s="103"/>
      <c r="E162" s="103"/>
    </row>
    <row r="163" customHeight="1" spans="1:5">
      <c r="A163" s="103"/>
      <c r="B163" s="104"/>
      <c r="C163" s="103"/>
      <c r="D163" s="103"/>
      <c r="E163" s="103"/>
    </row>
    <row r="164" customHeight="1" spans="1:5">
      <c r="A164" s="103"/>
      <c r="B164" s="104"/>
      <c r="C164" s="103"/>
      <c r="D164" s="103"/>
      <c r="E164" s="103"/>
    </row>
    <row r="165" customHeight="1" spans="1:5">
      <c r="A165" s="103"/>
      <c r="B165" s="104"/>
      <c r="C165" s="103"/>
      <c r="D165" s="103"/>
      <c r="E165" s="103"/>
    </row>
    <row r="166" customHeight="1" spans="1:5">
      <c r="A166" s="103"/>
      <c r="B166" s="104"/>
      <c r="C166" s="103"/>
      <c r="D166" s="103"/>
      <c r="E166" s="103"/>
    </row>
    <row r="167" customHeight="1" spans="1:5">
      <c r="A167" s="103"/>
      <c r="B167" s="104"/>
      <c r="C167" s="103"/>
      <c r="D167" s="103"/>
      <c r="E167" s="103"/>
    </row>
    <row r="168" customHeight="1" spans="1:5">
      <c r="A168" s="103"/>
      <c r="B168" s="104"/>
      <c r="C168" s="103"/>
      <c r="D168" s="103"/>
      <c r="E168" s="103"/>
    </row>
    <row r="169" customHeight="1" spans="1:5">
      <c r="A169" s="103"/>
      <c r="B169" s="104"/>
      <c r="C169" s="103"/>
      <c r="D169" s="103"/>
      <c r="E169" s="103"/>
    </row>
    <row r="170" customHeight="1" spans="1:5">
      <c r="A170" s="103"/>
      <c r="B170" s="104"/>
      <c r="C170" s="103"/>
      <c r="D170" s="103"/>
      <c r="E170" s="103"/>
    </row>
    <row r="171" customHeight="1" spans="1:5">
      <c r="A171" s="103"/>
      <c r="B171" s="104"/>
      <c r="C171" s="103"/>
      <c r="D171" s="103"/>
      <c r="E171" s="103"/>
    </row>
    <row r="172" customHeight="1" spans="1:5">
      <c r="A172" s="103"/>
      <c r="B172" s="104"/>
      <c r="C172" s="103"/>
      <c r="D172" s="103"/>
      <c r="E172" s="103"/>
    </row>
    <row r="173" customHeight="1" spans="1:5">
      <c r="A173" s="103"/>
      <c r="B173" s="104"/>
      <c r="C173" s="103"/>
      <c r="D173" s="103"/>
      <c r="E173" s="103"/>
    </row>
    <row r="174" customHeight="1" spans="1:5">
      <c r="A174" s="103"/>
      <c r="B174" s="104"/>
      <c r="C174" s="103"/>
      <c r="D174" s="103"/>
      <c r="E174" s="103"/>
    </row>
    <row r="175" customHeight="1" spans="1:5">
      <c r="A175" s="103"/>
      <c r="B175" s="104"/>
      <c r="C175" s="103"/>
      <c r="D175" s="103"/>
      <c r="E175" s="103"/>
    </row>
    <row r="176" customHeight="1" spans="1:5">
      <c r="A176" s="103"/>
      <c r="B176" s="104"/>
      <c r="C176" s="103"/>
      <c r="D176" s="103"/>
      <c r="E176" s="103"/>
    </row>
    <row r="177" customHeight="1" spans="1:5">
      <c r="A177" s="103"/>
      <c r="B177" s="104"/>
      <c r="C177" s="103"/>
      <c r="D177" s="103"/>
      <c r="E177" s="103"/>
    </row>
    <row r="178" customHeight="1" spans="1:5">
      <c r="A178" s="103"/>
      <c r="B178" s="104"/>
      <c r="C178" s="103"/>
      <c r="D178" s="103"/>
      <c r="E178" s="103"/>
    </row>
    <row r="179" customHeight="1" spans="1:5">
      <c r="A179" s="103"/>
      <c r="B179" s="104"/>
      <c r="C179" s="103"/>
      <c r="D179" s="103"/>
      <c r="E179" s="103"/>
    </row>
    <row r="180" customHeight="1" spans="1:5">
      <c r="A180" s="103"/>
      <c r="B180" s="104"/>
      <c r="C180" s="103"/>
      <c r="D180" s="103"/>
      <c r="E180" s="103"/>
    </row>
    <row r="181" customHeight="1" spans="1:5">
      <c r="A181" s="103"/>
      <c r="B181" s="104"/>
      <c r="C181" s="103"/>
      <c r="D181" s="103"/>
      <c r="E181" s="103"/>
    </row>
    <row r="182" customHeight="1" spans="1:5">
      <c r="A182" s="103"/>
      <c r="B182" s="104"/>
      <c r="C182" s="103"/>
      <c r="D182" s="103"/>
      <c r="E182" s="103"/>
    </row>
    <row r="183" customHeight="1" spans="1:5">
      <c r="A183" s="103"/>
      <c r="B183" s="104"/>
      <c r="C183" s="103"/>
      <c r="D183" s="103"/>
      <c r="E183" s="103"/>
    </row>
    <row r="184" customHeight="1" spans="1:5">
      <c r="A184" s="103"/>
      <c r="B184" s="104"/>
      <c r="C184" s="103"/>
      <c r="D184" s="103"/>
      <c r="E184" s="103"/>
    </row>
    <row r="185" customHeight="1" spans="1:5">
      <c r="A185" s="103"/>
      <c r="B185" s="104"/>
      <c r="C185" s="103"/>
      <c r="D185" s="103"/>
      <c r="E185" s="103"/>
    </row>
    <row r="186" customHeight="1" spans="1:5">
      <c r="A186" s="103"/>
      <c r="B186" s="104"/>
      <c r="C186" s="103"/>
      <c r="D186" s="103"/>
      <c r="E186" s="103"/>
    </row>
    <row r="187" customHeight="1" spans="1:5">
      <c r="A187" s="103"/>
      <c r="B187" s="104"/>
      <c r="C187" s="103"/>
      <c r="D187" s="103"/>
      <c r="E187" s="103"/>
    </row>
    <row r="188" customHeight="1" spans="1:5">
      <c r="A188" s="103"/>
      <c r="B188" s="104"/>
      <c r="C188" s="103"/>
      <c r="D188" s="103"/>
      <c r="E188" s="103"/>
    </row>
    <row r="189" customHeight="1" spans="1:5">
      <c r="A189" s="103"/>
      <c r="B189" s="104"/>
      <c r="C189" s="103"/>
      <c r="D189" s="103"/>
      <c r="E189" s="103"/>
    </row>
    <row r="190" customHeight="1" spans="1:5">
      <c r="A190" s="103"/>
      <c r="B190" s="104"/>
      <c r="C190" s="103"/>
      <c r="D190" s="103"/>
      <c r="E190" s="103"/>
    </row>
    <row r="191" customHeight="1" spans="1:5">
      <c r="A191" s="103"/>
      <c r="B191" s="104"/>
      <c r="C191" s="103"/>
      <c r="D191" s="103"/>
      <c r="E191" s="103"/>
    </row>
    <row r="192" customHeight="1" spans="1:5">
      <c r="A192" s="103"/>
      <c r="B192" s="104"/>
      <c r="C192" s="103"/>
      <c r="D192" s="103"/>
      <c r="E192" s="103"/>
    </row>
    <row r="193" customHeight="1" spans="1:5">
      <c r="A193" s="103"/>
      <c r="B193" s="104"/>
      <c r="C193" s="103"/>
      <c r="D193" s="103"/>
      <c r="E193" s="103"/>
    </row>
    <row r="194" customHeight="1" spans="1:5">
      <c r="A194" s="103"/>
      <c r="B194" s="104"/>
      <c r="C194" s="103"/>
      <c r="D194" s="103"/>
      <c r="E194" s="103"/>
    </row>
    <row r="195" customHeight="1" spans="1:5">
      <c r="A195" s="103"/>
      <c r="B195" s="104"/>
      <c r="C195" s="103"/>
      <c r="D195" s="103"/>
      <c r="E195" s="103"/>
    </row>
    <row r="196" customHeight="1" spans="1:5">
      <c r="A196" s="103"/>
      <c r="B196" s="104"/>
      <c r="C196" s="103"/>
      <c r="D196" s="103"/>
      <c r="E196" s="103"/>
    </row>
    <row r="197" customHeight="1" spans="1:5">
      <c r="A197" s="103"/>
      <c r="B197" s="104"/>
      <c r="C197" s="103"/>
      <c r="D197" s="103"/>
      <c r="E197" s="103"/>
    </row>
    <row r="198" customHeight="1" spans="1:5">
      <c r="A198" s="103"/>
      <c r="B198" s="104"/>
      <c r="C198" s="103"/>
      <c r="D198" s="103"/>
      <c r="E198" s="103"/>
    </row>
    <row r="199" customHeight="1" spans="1:5">
      <c r="A199" s="103"/>
      <c r="B199" s="104"/>
      <c r="C199" s="103"/>
      <c r="D199" s="103"/>
      <c r="E199" s="103"/>
    </row>
    <row r="200" customHeight="1" spans="1:5">
      <c r="A200" s="103"/>
      <c r="B200" s="104"/>
      <c r="C200" s="103"/>
      <c r="D200" s="103"/>
      <c r="E200" s="103"/>
    </row>
    <row r="201" customHeight="1" spans="1:5">
      <c r="A201" s="103"/>
      <c r="B201" s="104"/>
      <c r="C201" s="103"/>
      <c r="D201" s="103"/>
      <c r="E201" s="103"/>
    </row>
    <row r="202" customHeight="1" spans="1:5">
      <c r="A202" s="103"/>
      <c r="B202" s="104"/>
      <c r="C202" s="103"/>
      <c r="D202" s="103"/>
      <c r="E202" s="103"/>
    </row>
    <row r="203" customHeight="1" spans="1:5">
      <c r="A203" s="103"/>
      <c r="B203" s="104"/>
      <c r="C203" s="103"/>
      <c r="D203" s="103"/>
      <c r="E203" s="103"/>
    </row>
    <row r="204" customHeight="1" spans="1:5">
      <c r="A204" s="103"/>
      <c r="B204" s="104"/>
      <c r="C204" s="103"/>
      <c r="D204" s="103"/>
      <c r="E204" s="103"/>
    </row>
    <row r="205" customHeight="1" spans="1:5">
      <c r="A205" s="103"/>
      <c r="B205" s="104"/>
      <c r="C205" s="103"/>
      <c r="D205" s="103"/>
      <c r="E205" s="103"/>
    </row>
    <row r="206" customHeight="1" spans="1:5">
      <c r="A206" s="103"/>
      <c r="B206" s="104"/>
      <c r="C206" s="103"/>
      <c r="D206" s="103"/>
      <c r="E206" s="103"/>
    </row>
    <row r="207" customHeight="1" spans="1:5">
      <c r="A207" s="103"/>
      <c r="B207" s="104"/>
      <c r="C207" s="103"/>
      <c r="D207" s="103"/>
      <c r="E207" s="103"/>
    </row>
    <row r="208" customHeight="1" spans="1:5">
      <c r="A208" s="103"/>
      <c r="B208" s="104"/>
      <c r="C208" s="103"/>
      <c r="D208" s="103"/>
      <c r="E208" s="103"/>
    </row>
    <row r="209" customHeight="1" spans="1:5">
      <c r="A209" s="103"/>
      <c r="B209" s="104"/>
      <c r="C209" s="103"/>
      <c r="D209" s="103"/>
      <c r="E209" s="103"/>
    </row>
    <row r="210" customHeight="1" spans="1:5">
      <c r="A210" s="103"/>
      <c r="B210" s="104"/>
      <c r="C210" s="103"/>
      <c r="D210" s="103"/>
      <c r="E210" s="103"/>
    </row>
    <row r="211" customHeight="1" spans="1:5">
      <c r="A211" s="103"/>
      <c r="B211" s="104"/>
      <c r="C211" s="103"/>
      <c r="D211" s="103"/>
      <c r="E211" s="103"/>
    </row>
    <row r="212" customHeight="1" spans="1:5">
      <c r="A212" s="103"/>
      <c r="B212" s="104"/>
      <c r="C212" s="103"/>
      <c r="D212" s="103"/>
      <c r="E212" s="103"/>
    </row>
    <row r="213" customHeight="1" spans="1:5">
      <c r="A213" s="103"/>
      <c r="B213" s="104"/>
      <c r="C213" s="103"/>
      <c r="D213" s="103"/>
      <c r="E213" s="103"/>
    </row>
    <row r="214" customHeight="1" spans="1:5">
      <c r="A214" s="103"/>
      <c r="B214" s="104"/>
      <c r="C214" s="103"/>
      <c r="D214" s="103"/>
      <c r="E214" s="103"/>
    </row>
    <row r="215" customHeight="1" spans="1:5">
      <c r="A215" s="103"/>
      <c r="B215" s="104"/>
      <c r="C215" s="103"/>
      <c r="D215" s="103"/>
      <c r="E215" s="103"/>
    </row>
    <row r="216" customHeight="1" spans="1:5">
      <c r="A216" s="103"/>
      <c r="B216" s="104"/>
      <c r="C216" s="103"/>
      <c r="D216" s="103"/>
      <c r="E216" s="103"/>
    </row>
    <row r="217" customHeight="1" spans="1:5">
      <c r="A217" s="103"/>
      <c r="B217" s="104"/>
      <c r="C217" s="103"/>
      <c r="D217" s="103"/>
      <c r="E217" s="103"/>
    </row>
    <row r="218" customHeight="1" spans="1:5">
      <c r="A218" s="103"/>
      <c r="B218" s="104"/>
      <c r="C218" s="103"/>
      <c r="D218" s="103"/>
      <c r="E218" s="103"/>
    </row>
    <row r="219" customHeight="1" spans="1:5">
      <c r="A219" s="103"/>
      <c r="B219" s="104"/>
      <c r="C219" s="103"/>
      <c r="D219" s="103"/>
      <c r="E219" s="103"/>
    </row>
    <row r="220" customHeight="1" spans="1:5">
      <c r="A220" s="103"/>
      <c r="B220" s="104"/>
      <c r="C220" s="103"/>
      <c r="D220" s="103"/>
      <c r="E220" s="103"/>
    </row>
    <row r="221" customHeight="1" spans="1:5">
      <c r="A221" s="103"/>
      <c r="B221" s="104"/>
      <c r="C221" s="103"/>
      <c r="D221" s="103"/>
      <c r="E221" s="103"/>
    </row>
    <row r="222" customHeight="1" spans="1:5">
      <c r="A222" s="103"/>
      <c r="B222" s="104"/>
      <c r="C222" s="103"/>
      <c r="D222" s="103"/>
      <c r="E222" s="103"/>
    </row>
    <row r="223" customHeight="1" spans="1:5">
      <c r="A223" s="103"/>
      <c r="B223" s="104"/>
      <c r="C223" s="103"/>
      <c r="D223" s="103"/>
      <c r="E223" s="103"/>
    </row>
    <row r="224" customHeight="1" spans="1:5">
      <c r="A224" s="103"/>
      <c r="B224" s="104"/>
      <c r="C224" s="103"/>
      <c r="D224" s="103"/>
      <c r="E224" s="103"/>
    </row>
    <row r="225" customHeight="1" spans="1:5">
      <c r="A225" s="103"/>
      <c r="B225" s="104"/>
      <c r="C225" s="103"/>
      <c r="D225" s="103"/>
      <c r="E225" s="103"/>
    </row>
    <row r="226" customHeight="1" spans="1:5">
      <c r="A226" s="103"/>
      <c r="B226" s="104"/>
      <c r="C226" s="103"/>
      <c r="D226" s="103"/>
      <c r="E226" s="103"/>
    </row>
    <row r="227" customHeight="1" spans="1:5">
      <c r="A227" s="103"/>
      <c r="B227" s="104"/>
      <c r="C227" s="103"/>
      <c r="D227" s="103"/>
      <c r="E227" s="103"/>
    </row>
    <row r="228" customHeight="1" spans="1:5">
      <c r="A228" s="103"/>
      <c r="B228" s="104"/>
      <c r="C228" s="103"/>
      <c r="D228" s="103"/>
      <c r="E228" s="103"/>
    </row>
    <row r="229" customHeight="1" spans="1:5">
      <c r="A229" s="103"/>
      <c r="B229" s="104"/>
      <c r="C229" s="103"/>
      <c r="D229" s="103"/>
      <c r="E229" s="103"/>
    </row>
    <row r="230" customHeight="1" spans="1:5">
      <c r="A230" s="103"/>
      <c r="B230" s="104"/>
      <c r="C230" s="103"/>
      <c r="D230" s="103"/>
      <c r="E230" s="103"/>
    </row>
    <row r="231" customHeight="1" spans="1:5">
      <c r="A231" s="103"/>
      <c r="B231" s="104"/>
      <c r="C231" s="103"/>
      <c r="D231" s="103"/>
      <c r="E231" s="103"/>
    </row>
    <row r="232" customHeight="1" spans="1:5">
      <c r="A232" s="103"/>
      <c r="B232" s="104"/>
      <c r="C232" s="103"/>
      <c r="D232" s="103"/>
      <c r="E232" s="103"/>
    </row>
    <row r="233" customHeight="1" spans="1:5">
      <c r="A233" s="103"/>
      <c r="B233" s="104"/>
      <c r="C233" s="103"/>
      <c r="D233" s="103"/>
      <c r="E233" s="103"/>
    </row>
    <row r="234" customHeight="1" spans="1:5">
      <c r="A234" s="103"/>
      <c r="B234" s="104"/>
      <c r="C234" s="103"/>
      <c r="D234" s="103"/>
      <c r="E234" s="103"/>
    </row>
    <row r="235" customHeight="1" spans="1:5">
      <c r="A235" s="103"/>
      <c r="B235" s="104"/>
      <c r="C235" s="103"/>
      <c r="D235" s="103"/>
      <c r="E235" s="103"/>
    </row>
    <row r="236" customHeight="1" spans="1:5">
      <c r="A236" s="103"/>
      <c r="B236" s="104"/>
      <c r="C236" s="103"/>
      <c r="D236" s="103"/>
      <c r="E236" s="103"/>
    </row>
    <row r="237" customHeight="1" spans="1:5">
      <c r="A237" s="103"/>
      <c r="B237" s="104"/>
      <c r="C237" s="103"/>
      <c r="D237" s="103"/>
      <c r="E237" s="103"/>
    </row>
    <row r="238" customHeight="1" spans="1:5">
      <c r="A238" s="103"/>
      <c r="B238" s="104"/>
      <c r="C238" s="103"/>
      <c r="D238" s="103"/>
      <c r="E238" s="103"/>
    </row>
    <row r="239" customHeight="1" spans="1:5">
      <c r="A239" s="103"/>
      <c r="B239" s="104"/>
      <c r="C239" s="103"/>
      <c r="D239" s="103"/>
      <c r="E239" s="103"/>
    </row>
    <row r="240" customHeight="1" spans="1:5">
      <c r="A240" s="103"/>
      <c r="B240" s="104"/>
      <c r="C240" s="103"/>
      <c r="D240" s="103"/>
      <c r="E240" s="103"/>
    </row>
    <row r="241" customHeight="1" spans="1:5">
      <c r="A241" s="103"/>
      <c r="B241" s="104"/>
      <c r="C241" s="103"/>
      <c r="D241" s="103"/>
      <c r="E241" s="103"/>
    </row>
    <row r="242" customHeight="1" spans="1:5">
      <c r="A242" s="103"/>
      <c r="B242" s="104"/>
      <c r="C242" s="103"/>
      <c r="D242" s="103"/>
      <c r="E242" s="103"/>
    </row>
    <row r="243" customHeight="1" spans="1:5">
      <c r="A243" s="103"/>
      <c r="B243" s="104"/>
      <c r="C243" s="103"/>
      <c r="D243" s="103"/>
      <c r="E243" s="103"/>
    </row>
    <row r="244" customHeight="1" spans="1:5">
      <c r="A244" s="103"/>
      <c r="B244" s="104"/>
      <c r="C244" s="103"/>
      <c r="D244" s="103"/>
      <c r="E244" s="103"/>
    </row>
    <row r="245" customHeight="1" spans="1:5">
      <c r="A245" s="103"/>
      <c r="B245" s="104"/>
      <c r="C245" s="103"/>
      <c r="D245" s="103"/>
      <c r="E245" s="103"/>
    </row>
    <row r="246" customHeight="1" spans="1:5">
      <c r="A246" s="103"/>
      <c r="B246" s="104"/>
      <c r="C246" s="103"/>
      <c r="D246" s="103"/>
      <c r="E246" s="103"/>
    </row>
    <row r="247" customHeight="1" spans="1:5">
      <c r="A247" s="103"/>
      <c r="B247" s="104"/>
      <c r="C247" s="103"/>
      <c r="D247" s="103"/>
      <c r="E247" s="103"/>
    </row>
    <row r="248" customHeight="1" spans="1:5">
      <c r="A248" s="103"/>
      <c r="B248" s="104"/>
      <c r="C248" s="103"/>
      <c r="D248" s="103"/>
      <c r="E248" s="103"/>
    </row>
    <row r="249" customHeight="1" spans="1:5">
      <c r="A249" s="103"/>
      <c r="B249" s="104"/>
      <c r="C249" s="103"/>
      <c r="D249" s="103"/>
      <c r="E249" s="103"/>
    </row>
    <row r="250" customHeight="1" spans="1:5">
      <c r="A250" s="103"/>
      <c r="B250" s="104"/>
      <c r="C250" s="103"/>
      <c r="D250" s="103"/>
      <c r="E250" s="103"/>
    </row>
    <row r="251" customHeight="1" spans="1:5">
      <c r="A251" s="103"/>
      <c r="B251" s="104"/>
      <c r="C251" s="103"/>
      <c r="D251" s="103"/>
      <c r="E251" s="103"/>
    </row>
    <row r="252" customHeight="1" spans="1:5">
      <c r="A252" s="103"/>
      <c r="B252" s="104"/>
      <c r="C252" s="103"/>
      <c r="D252" s="103"/>
      <c r="E252" s="103"/>
    </row>
    <row r="253" customHeight="1" spans="1:5">
      <c r="A253" s="103"/>
      <c r="B253" s="104"/>
      <c r="C253" s="103"/>
      <c r="D253" s="103"/>
      <c r="E253" s="103"/>
    </row>
    <row r="254" customHeight="1" spans="1:5">
      <c r="A254" s="103"/>
      <c r="B254" s="104"/>
      <c r="C254" s="103"/>
      <c r="D254" s="103"/>
      <c r="E254" s="103"/>
    </row>
    <row r="255" customHeight="1" spans="1:5">
      <c r="A255" s="103"/>
      <c r="B255" s="104"/>
      <c r="C255" s="103"/>
      <c r="D255" s="103"/>
      <c r="E255" s="103"/>
    </row>
    <row r="256" customHeight="1" spans="1:5">
      <c r="A256" s="103"/>
      <c r="B256" s="104"/>
      <c r="C256" s="103"/>
      <c r="D256" s="103"/>
      <c r="E256" s="103"/>
    </row>
    <row r="257" customHeight="1" spans="1:5">
      <c r="A257" s="103"/>
      <c r="B257" s="104"/>
      <c r="C257" s="103"/>
      <c r="D257" s="103"/>
      <c r="E257" s="103"/>
    </row>
    <row r="258" customHeight="1" spans="1:5">
      <c r="A258" s="103"/>
      <c r="B258" s="104"/>
      <c r="C258" s="103"/>
      <c r="D258" s="103"/>
      <c r="E258" s="103"/>
    </row>
    <row r="259" customHeight="1" spans="1:5">
      <c r="A259" s="103"/>
      <c r="B259" s="104"/>
      <c r="C259" s="103"/>
      <c r="D259" s="103"/>
      <c r="E259" s="103"/>
    </row>
    <row r="260" customHeight="1" spans="1:5">
      <c r="A260" s="103"/>
      <c r="B260" s="104"/>
      <c r="C260" s="103"/>
      <c r="D260" s="103"/>
      <c r="E260" s="103"/>
    </row>
    <row r="261" customHeight="1" spans="1:5">
      <c r="A261" s="103"/>
      <c r="B261" s="104"/>
      <c r="C261" s="103"/>
      <c r="D261" s="103"/>
      <c r="E261" s="103"/>
    </row>
    <row r="262" customHeight="1" spans="1:5">
      <c r="A262" s="103"/>
      <c r="B262" s="104"/>
      <c r="C262" s="103"/>
      <c r="D262" s="103"/>
      <c r="E262" s="103"/>
    </row>
    <row r="263" customHeight="1" spans="1:5">
      <c r="A263" s="103"/>
      <c r="B263" s="104"/>
      <c r="C263" s="103"/>
      <c r="D263" s="103"/>
      <c r="E263" s="103"/>
    </row>
    <row r="264" customHeight="1" spans="1:5">
      <c r="A264" s="103"/>
      <c r="B264" s="104"/>
      <c r="C264" s="103"/>
      <c r="D264" s="103"/>
      <c r="E264" s="103"/>
    </row>
    <row r="265" customHeight="1" spans="1:5">
      <c r="A265" s="103"/>
      <c r="B265" s="104"/>
      <c r="C265" s="103"/>
      <c r="D265" s="103"/>
      <c r="E265" s="103"/>
    </row>
    <row r="266" customHeight="1" spans="1:5">
      <c r="A266" s="103"/>
      <c r="B266" s="104"/>
      <c r="C266" s="103"/>
      <c r="D266" s="103"/>
      <c r="E266" s="103"/>
    </row>
    <row r="267" customHeight="1" spans="1:5">
      <c r="A267" s="103"/>
      <c r="B267" s="104"/>
      <c r="C267" s="103"/>
      <c r="D267" s="103"/>
      <c r="E267" s="103"/>
    </row>
    <row r="268" customHeight="1" spans="1:5">
      <c r="A268" s="103"/>
      <c r="B268" s="104"/>
      <c r="C268" s="103"/>
      <c r="D268" s="103"/>
      <c r="E268" s="103"/>
    </row>
    <row r="269" customHeight="1" spans="1:5">
      <c r="A269" s="103"/>
      <c r="B269" s="104"/>
      <c r="C269" s="103"/>
      <c r="D269" s="103"/>
      <c r="E269" s="103"/>
    </row>
    <row r="270" customHeight="1" spans="1:5">
      <c r="A270" s="103"/>
      <c r="B270" s="104"/>
      <c r="C270" s="103"/>
      <c r="D270" s="103"/>
      <c r="E270" s="103"/>
    </row>
    <row r="271" customHeight="1" spans="1:5">
      <c r="A271" s="103"/>
      <c r="B271" s="104"/>
      <c r="C271" s="103"/>
      <c r="D271" s="103"/>
      <c r="E271" s="103"/>
    </row>
    <row r="272" customHeight="1" spans="1:5">
      <c r="A272" s="103"/>
      <c r="B272" s="104"/>
      <c r="C272" s="103"/>
      <c r="D272" s="103"/>
      <c r="E272" s="103"/>
    </row>
    <row r="273" customHeight="1" spans="1:5">
      <c r="A273" s="103"/>
      <c r="B273" s="104"/>
      <c r="C273" s="103"/>
      <c r="D273" s="103"/>
      <c r="E273" s="103"/>
    </row>
    <row r="274" customHeight="1" spans="1:5">
      <c r="A274" s="103"/>
      <c r="B274" s="104"/>
      <c r="C274" s="103"/>
      <c r="D274" s="103"/>
      <c r="E274" s="103"/>
    </row>
    <row r="275" customHeight="1" spans="1:5">
      <c r="A275" s="103"/>
      <c r="B275" s="104"/>
      <c r="C275" s="103"/>
      <c r="D275" s="103"/>
      <c r="E275" s="103"/>
    </row>
    <row r="276" customHeight="1" spans="1:5">
      <c r="A276" s="103"/>
      <c r="B276" s="104"/>
      <c r="C276" s="103"/>
      <c r="D276" s="103"/>
      <c r="E276" s="103"/>
    </row>
    <row r="277" customHeight="1" spans="1:5">
      <c r="A277" s="103"/>
      <c r="B277" s="104"/>
      <c r="C277" s="103"/>
      <c r="D277" s="103"/>
      <c r="E277" s="103"/>
    </row>
    <row r="278" customHeight="1" spans="1:5">
      <c r="A278" s="103"/>
      <c r="B278" s="104"/>
      <c r="C278" s="103"/>
      <c r="D278" s="103"/>
      <c r="E278" s="103"/>
    </row>
    <row r="279" customHeight="1" spans="1:5">
      <c r="A279" s="103"/>
      <c r="B279" s="104"/>
      <c r="C279" s="103"/>
      <c r="D279" s="103"/>
      <c r="E279" s="103"/>
    </row>
    <row r="280" customHeight="1" spans="1:5">
      <c r="A280" s="103"/>
      <c r="B280" s="104"/>
      <c r="C280" s="103"/>
      <c r="D280" s="103"/>
      <c r="E280" s="103"/>
    </row>
    <row r="281" customHeight="1" spans="1:5">
      <c r="A281" s="103"/>
      <c r="B281" s="104"/>
      <c r="C281" s="103"/>
      <c r="D281" s="103"/>
      <c r="E281" s="103"/>
    </row>
    <row r="282" customHeight="1" spans="1:5">
      <c r="A282" s="103"/>
      <c r="B282" s="104"/>
      <c r="C282" s="103"/>
      <c r="D282" s="103"/>
      <c r="E282" s="103"/>
    </row>
    <row r="283" customHeight="1" spans="1:5">
      <c r="A283" s="103"/>
      <c r="B283" s="104"/>
      <c r="C283" s="103"/>
      <c r="D283" s="103"/>
      <c r="E283" s="103"/>
    </row>
    <row r="284" customHeight="1" spans="1:5">
      <c r="A284" s="103"/>
      <c r="B284" s="104"/>
      <c r="C284" s="103"/>
      <c r="D284" s="103"/>
      <c r="E284" s="103"/>
    </row>
    <row r="285" customHeight="1" spans="1:5">
      <c r="A285" s="103"/>
      <c r="B285" s="104"/>
      <c r="C285" s="103"/>
      <c r="D285" s="103"/>
      <c r="E285" s="103"/>
    </row>
    <row r="286" customHeight="1" spans="1:5">
      <c r="A286" s="103"/>
      <c r="B286" s="104"/>
      <c r="C286" s="103"/>
      <c r="D286" s="103"/>
      <c r="E286" s="103"/>
    </row>
    <row r="287" customHeight="1" spans="1:5">
      <c r="A287" s="103"/>
      <c r="B287" s="104"/>
      <c r="C287" s="103"/>
      <c r="D287" s="103"/>
      <c r="E287" s="103"/>
    </row>
    <row r="288" customHeight="1" spans="1:5">
      <c r="A288" s="103"/>
      <c r="B288" s="104"/>
      <c r="C288" s="103"/>
      <c r="D288" s="103"/>
      <c r="E288" s="103"/>
    </row>
    <row r="289" customHeight="1" spans="1:5">
      <c r="A289" s="103"/>
      <c r="B289" s="104"/>
      <c r="C289" s="103"/>
      <c r="D289" s="103"/>
      <c r="E289" s="103"/>
    </row>
    <row r="290" customHeight="1" spans="1:5">
      <c r="A290" s="103"/>
      <c r="B290" s="104"/>
      <c r="C290" s="103"/>
      <c r="D290" s="103"/>
      <c r="E290" s="103"/>
    </row>
    <row r="291" customHeight="1" spans="1:5">
      <c r="A291" s="103"/>
      <c r="B291" s="104"/>
      <c r="C291" s="103"/>
      <c r="D291" s="103"/>
      <c r="E291" s="103"/>
    </row>
    <row r="292" customHeight="1" spans="1:5">
      <c r="A292" s="103"/>
      <c r="B292" s="104"/>
      <c r="C292" s="103"/>
      <c r="D292" s="103"/>
      <c r="E292" s="103"/>
    </row>
    <row r="293" customHeight="1" spans="1:5">
      <c r="A293" s="103"/>
      <c r="B293" s="104"/>
      <c r="C293" s="103"/>
      <c r="D293" s="103"/>
      <c r="E293" s="103"/>
    </row>
    <row r="294" customHeight="1" spans="1:5">
      <c r="A294" s="103"/>
      <c r="B294" s="104"/>
      <c r="C294" s="103"/>
      <c r="D294" s="103"/>
      <c r="E294" s="103"/>
    </row>
    <row r="295" customHeight="1" spans="1:5">
      <c r="A295" s="103"/>
      <c r="B295" s="104"/>
      <c r="C295" s="103"/>
      <c r="D295" s="103"/>
      <c r="E295" s="103"/>
    </row>
    <row r="296" customHeight="1" spans="1:5">
      <c r="A296" s="103"/>
      <c r="B296" s="104"/>
      <c r="C296" s="103"/>
      <c r="D296" s="103"/>
      <c r="E296" s="103"/>
    </row>
    <row r="297" customHeight="1" spans="1:5">
      <c r="A297" s="103"/>
      <c r="B297" s="104"/>
      <c r="C297" s="103"/>
      <c r="D297" s="103"/>
      <c r="E297" s="103"/>
    </row>
    <row r="298" customHeight="1" spans="1:5">
      <c r="A298" s="103"/>
      <c r="B298" s="104"/>
      <c r="C298" s="103"/>
      <c r="D298" s="103"/>
      <c r="E298" s="103"/>
    </row>
    <row r="299" customHeight="1" spans="1:5">
      <c r="A299" s="103"/>
      <c r="B299" s="104"/>
      <c r="C299" s="103"/>
      <c r="D299" s="103"/>
      <c r="E299" s="103"/>
    </row>
    <row r="300" customHeight="1" spans="1:5">
      <c r="A300" s="103"/>
      <c r="B300" s="104"/>
      <c r="C300" s="103"/>
      <c r="D300" s="103"/>
      <c r="E300" s="103"/>
    </row>
    <row r="301" customHeight="1" spans="1:5">
      <c r="A301" s="103"/>
      <c r="B301" s="104"/>
      <c r="C301" s="103"/>
      <c r="D301" s="103"/>
      <c r="E301" s="103"/>
    </row>
    <row r="302" customHeight="1" spans="1:5">
      <c r="A302" s="103"/>
      <c r="B302" s="104"/>
      <c r="C302" s="103"/>
      <c r="D302" s="103"/>
      <c r="E302" s="103"/>
    </row>
    <row r="303" customHeight="1" spans="1:5">
      <c r="A303" s="103"/>
      <c r="B303" s="104"/>
      <c r="C303" s="103"/>
      <c r="D303" s="103"/>
      <c r="E303" s="103"/>
    </row>
    <row r="304" customHeight="1" spans="1:5">
      <c r="A304" s="103"/>
      <c r="B304" s="104"/>
      <c r="C304" s="103"/>
      <c r="D304" s="103"/>
      <c r="E304" s="103"/>
    </row>
    <row r="305" customHeight="1" spans="1:5">
      <c r="A305" s="103"/>
      <c r="B305" s="104"/>
      <c r="C305" s="103"/>
      <c r="D305" s="103"/>
      <c r="E305" s="103"/>
    </row>
    <row r="306" customHeight="1" spans="1:5">
      <c r="A306" s="103"/>
      <c r="B306" s="104"/>
      <c r="C306" s="103"/>
      <c r="D306" s="103"/>
      <c r="E306" s="103"/>
    </row>
    <row r="307" customHeight="1" spans="1:5">
      <c r="A307" s="103"/>
      <c r="B307" s="104"/>
      <c r="C307" s="103"/>
      <c r="D307" s="103"/>
      <c r="E307" s="103"/>
    </row>
    <row r="308" customHeight="1" spans="1:5">
      <c r="A308" s="103"/>
      <c r="B308" s="104"/>
      <c r="C308" s="103"/>
      <c r="D308" s="103"/>
      <c r="E308" s="103"/>
    </row>
    <row r="309" customHeight="1" spans="1:5">
      <c r="A309" s="103"/>
      <c r="B309" s="104"/>
      <c r="C309" s="103"/>
      <c r="D309" s="103"/>
      <c r="E309" s="103"/>
    </row>
    <row r="310" customHeight="1" spans="1:5">
      <c r="A310" s="103"/>
      <c r="B310" s="104"/>
      <c r="C310" s="103"/>
      <c r="D310" s="103"/>
      <c r="E310" s="103"/>
    </row>
    <row r="311" customHeight="1" spans="1:5">
      <c r="A311" s="103"/>
      <c r="B311" s="104"/>
      <c r="C311" s="103"/>
      <c r="D311" s="103"/>
      <c r="E311" s="103"/>
    </row>
    <row r="312" customHeight="1" spans="1:5">
      <c r="A312" s="103"/>
      <c r="B312" s="104"/>
      <c r="C312" s="103"/>
      <c r="D312" s="103"/>
      <c r="E312" s="103"/>
    </row>
    <row r="313" customHeight="1" spans="1:5">
      <c r="A313" s="103"/>
      <c r="B313" s="104"/>
      <c r="C313" s="103"/>
      <c r="D313" s="103"/>
      <c r="E313" s="103"/>
    </row>
    <row r="314" customHeight="1" spans="1:5">
      <c r="A314" s="103"/>
      <c r="B314" s="104"/>
      <c r="C314" s="103"/>
      <c r="D314" s="103"/>
      <c r="E314" s="103"/>
    </row>
    <row r="315" customHeight="1" spans="1:5">
      <c r="A315" s="103"/>
      <c r="B315" s="104"/>
      <c r="C315" s="103"/>
      <c r="D315" s="103"/>
      <c r="E315" s="103"/>
    </row>
    <row r="316" customHeight="1" spans="1:5">
      <c r="A316" s="103"/>
      <c r="B316" s="104"/>
      <c r="C316" s="103"/>
      <c r="D316" s="103"/>
      <c r="E316" s="103"/>
    </row>
    <row r="317" customHeight="1" spans="1:5">
      <c r="A317" s="103"/>
      <c r="B317" s="104"/>
      <c r="C317" s="103"/>
      <c r="D317" s="103"/>
      <c r="E317" s="103"/>
    </row>
    <row r="318" customHeight="1" spans="1:5">
      <c r="A318" s="103"/>
      <c r="B318" s="104"/>
      <c r="C318" s="103"/>
      <c r="D318" s="103"/>
      <c r="E318" s="103"/>
    </row>
    <row r="319" customHeight="1" spans="1:5">
      <c r="A319" s="103"/>
      <c r="B319" s="104"/>
      <c r="C319" s="103"/>
      <c r="D319" s="103"/>
      <c r="E319" s="103"/>
    </row>
    <row r="320" customHeight="1" spans="1:5">
      <c r="A320" s="103"/>
      <c r="B320" s="104"/>
      <c r="C320" s="103"/>
      <c r="D320" s="103"/>
      <c r="E320" s="103"/>
    </row>
    <row r="321" customHeight="1" spans="1:5">
      <c r="A321" s="103"/>
      <c r="B321" s="104"/>
      <c r="C321" s="103"/>
      <c r="D321" s="103"/>
      <c r="E321" s="103"/>
    </row>
    <row r="322" customHeight="1" spans="1:5">
      <c r="A322" s="103"/>
      <c r="B322" s="104"/>
      <c r="C322" s="103"/>
      <c r="D322" s="103"/>
      <c r="E322" s="103"/>
    </row>
    <row r="323" customHeight="1" spans="1:5">
      <c r="A323" s="103"/>
      <c r="B323" s="104"/>
      <c r="C323" s="103"/>
      <c r="D323" s="103"/>
      <c r="E323" s="103"/>
    </row>
    <row r="324" customHeight="1" spans="1:5">
      <c r="A324" s="103"/>
      <c r="B324" s="104"/>
      <c r="C324" s="103"/>
      <c r="D324" s="103"/>
      <c r="E324" s="103"/>
    </row>
    <row r="325" customHeight="1" spans="1:5">
      <c r="A325" s="103"/>
      <c r="B325" s="104"/>
      <c r="C325" s="103"/>
      <c r="D325" s="103"/>
      <c r="E325" s="103"/>
    </row>
    <row r="326" customHeight="1" spans="1:5">
      <c r="A326" s="103"/>
      <c r="B326" s="104"/>
      <c r="C326" s="103"/>
      <c r="D326" s="103"/>
      <c r="E326" s="103"/>
    </row>
    <row r="327" customHeight="1" spans="1:5">
      <c r="A327" s="103"/>
      <c r="B327" s="104"/>
      <c r="C327" s="103"/>
      <c r="D327" s="103"/>
      <c r="E327" s="103"/>
    </row>
    <row r="328" customHeight="1" spans="1:5">
      <c r="A328" s="103"/>
      <c r="B328" s="104"/>
      <c r="C328" s="103"/>
      <c r="D328" s="103"/>
      <c r="E328" s="103"/>
    </row>
    <row r="329" customHeight="1" spans="1:5">
      <c r="A329" s="103"/>
      <c r="B329" s="104"/>
      <c r="C329" s="103"/>
      <c r="D329" s="103"/>
      <c r="E329" s="103"/>
    </row>
    <row r="330" customHeight="1" spans="1:5">
      <c r="A330" s="103"/>
      <c r="B330" s="104"/>
      <c r="C330" s="103"/>
      <c r="D330" s="103"/>
      <c r="E330" s="103"/>
    </row>
    <row r="331" customHeight="1" spans="1:5">
      <c r="A331" s="103"/>
      <c r="B331" s="104"/>
      <c r="C331" s="103"/>
      <c r="D331" s="103"/>
      <c r="E331" s="103"/>
    </row>
    <row r="332" customHeight="1" spans="1:5">
      <c r="A332" s="103"/>
      <c r="B332" s="104"/>
      <c r="C332" s="103"/>
      <c r="D332" s="103"/>
      <c r="E332" s="103"/>
    </row>
    <row r="333" customHeight="1" spans="1:5">
      <c r="A333" s="103"/>
      <c r="B333" s="104"/>
      <c r="C333" s="103"/>
      <c r="D333" s="103"/>
      <c r="E333" s="103"/>
    </row>
    <row r="334" customHeight="1" spans="1:5">
      <c r="A334" s="103"/>
      <c r="B334" s="104"/>
      <c r="C334" s="103"/>
      <c r="D334" s="103"/>
      <c r="E334" s="103"/>
    </row>
    <row r="335" customHeight="1" spans="1:5">
      <c r="A335" s="103"/>
      <c r="B335" s="104"/>
      <c r="C335" s="103"/>
      <c r="D335" s="103"/>
      <c r="E335" s="103"/>
    </row>
    <row r="336" customHeight="1" spans="1:5">
      <c r="A336" s="103"/>
      <c r="B336" s="104"/>
      <c r="C336" s="103"/>
      <c r="D336" s="103"/>
      <c r="E336" s="103"/>
    </row>
    <row r="337" customHeight="1" spans="1:5">
      <c r="A337" s="103"/>
      <c r="B337" s="104"/>
      <c r="C337" s="103"/>
      <c r="D337" s="103"/>
      <c r="E337" s="103"/>
    </row>
    <row r="338" customHeight="1" spans="1:5">
      <c r="A338" s="103"/>
      <c r="B338" s="104"/>
      <c r="C338" s="103"/>
      <c r="D338" s="103"/>
      <c r="E338" s="103"/>
    </row>
    <row r="339" customHeight="1" spans="1:5">
      <c r="A339" s="103"/>
      <c r="B339" s="104"/>
      <c r="C339" s="103"/>
      <c r="D339" s="103"/>
      <c r="E339" s="103"/>
    </row>
    <row r="340" customHeight="1" spans="1:5">
      <c r="A340" s="103"/>
      <c r="B340" s="104"/>
      <c r="C340" s="103"/>
      <c r="D340" s="103"/>
      <c r="E340" s="103"/>
    </row>
    <row r="341" customHeight="1" spans="1:5">
      <c r="A341" s="103"/>
      <c r="B341" s="104"/>
      <c r="C341" s="103"/>
      <c r="D341" s="103"/>
      <c r="E341" s="103"/>
    </row>
    <row r="342" customHeight="1" spans="1:5">
      <c r="A342" s="103"/>
      <c r="B342" s="104"/>
      <c r="C342" s="103"/>
      <c r="D342" s="103"/>
      <c r="E342" s="103"/>
    </row>
    <row r="343" customHeight="1" spans="1:5">
      <c r="A343" s="103"/>
      <c r="B343" s="104"/>
      <c r="C343" s="103"/>
      <c r="D343" s="103"/>
      <c r="E343" s="103"/>
    </row>
    <row r="344" customHeight="1" spans="1:5">
      <c r="A344" s="103"/>
      <c r="B344" s="104"/>
      <c r="C344" s="103"/>
      <c r="D344" s="103"/>
      <c r="E344" s="103"/>
    </row>
    <row r="345" customHeight="1" spans="1:5">
      <c r="A345" s="103"/>
      <c r="B345" s="104"/>
      <c r="C345" s="103"/>
      <c r="D345" s="103"/>
      <c r="E345" s="103"/>
    </row>
    <row r="346" customHeight="1" spans="1:5">
      <c r="A346" s="103"/>
      <c r="B346" s="104"/>
      <c r="C346" s="103"/>
      <c r="D346" s="103"/>
      <c r="E346" s="103"/>
    </row>
    <row r="347" customHeight="1" spans="1:5">
      <c r="A347" s="103"/>
      <c r="B347" s="104"/>
      <c r="C347" s="103"/>
      <c r="D347" s="103"/>
      <c r="E347" s="103"/>
    </row>
    <row r="348" customHeight="1" spans="1:5">
      <c r="A348" s="103"/>
      <c r="B348" s="104"/>
      <c r="C348" s="103"/>
      <c r="D348" s="103"/>
      <c r="E348" s="103"/>
    </row>
    <row r="349" customHeight="1" spans="1:5">
      <c r="A349" s="103"/>
      <c r="B349" s="104"/>
      <c r="C349" s="103"/>
      <c r="D349" s="103"/>
      <c r="E349" s="103"/>
    </row>
    <row r="350" customHeight="1" spans="1:5">
      <c r="A350" s="103"/>
      <c r="B350" s="104"/>
      <c r="C350" s="103"/>
      <c r="D350" s="103"/>
      <c r="E350" s="103"/>
    </row>
    <row r="351" customHeight="1" spans="1:5">
      <c r="A351" s="103"/>
      <c r="B351" s="104"/>
      <c r="C351" s="103"/>
      <c r="D351" s="103"/>
      <c r="E351" s="103"/>
    </row>
    <row r="352" customHeight="1" spans="1:5">
      <c r="A352" s="103"/>
      <c r="B352" s="104"/>
      <c r="C352" s="103"/>
      <c r="D352" s="103"/>
      <c r="E352" s="103"/>
    </row>
    <row r="353" customHeight="1" spans="1:5">
      <c r="A353" s="103"/>
      <c r="B353" s="104"/>
      <c r="C353" s="103"/>
      <c r="D353" s="103"/>
      <c r="E353" s="103"/>
    </row>
    <row r="354" customHeight="1" spans="1:5">
      <c r="A354" s="103"/>
      <c r="B354" s="104"/>
      <c r="C354" s="103"/>
      <c r="D354" s="103"/>
      <c r="E354" s="103"/>
    </row>
    <row r="355" customHeight="1" spans="1:5">
      <c r="A355" s="103"/>
      <c r="B355" s="104"/>
      <c r="C355" s="103"/>
      <c r="D355" s="103"/>
      <c r="E355" s="103"/>
    </row>
    <row r="356" customHeight="1" spans="1:5">
      <c r="A356" s="103"/>
      <c r="B356" s="104"/>
      <c r="C356" s="103"/>
      <c r="D356" s="103"/>
      <c r="E356" s="103"/>
    </row>
    <row r="357" customHeight="1" spans="1:5">
      <c r="A357" s="103"/>
      <c r="B357" s="104"/>
      <c r="C357" s="103"/>
      <c r="D357" s="103"/>
      <c r="E357" s="103"/>
    </row>
    <row r="358" customHeight="1" spans="1:5">
      <c r="A358" s="103"/>
      <c r="B358" s="104"/>
      <c r="C358" s="103"/>
      <c r="D358" s="103"/>
      <c r="E358" s="103"/>
    </row>
    <row r="359" customHeight="1" spans="1:5">
      <c r="A359" s="103"/>
      <c r="B359" s="104"/>
      <c r="C359" s="103"/>
      <c r="D359" s="103"/>
      <c r="E359" s="103"/>
    </row>
    <row r="360" customHeight="1" spans="1:5">
      <c r="A360" s="103"/>
      <c r="B360" s="104"/>
      <c r="C360" s="103"/>
      <c r="D360" s="103"/>
      <c r="E360" s="103"/>
    </row>
    <row r="361" customHeight="1" spans="1:5">
      <c r="A361" s="103"/>
      <c r="B361" s="104"/>
      <c r="C361" s="103"/>
      <c r="D361" s="103"/>
      <c r="E361" s="103"/>
    </row>
    <row r="362" customHeight="1" spans="1:5">
      <c r="A362" s="103"/>
      <c r="B362" s="104"/>
      <c r="C362" s="103"/>
      <c r="D362" s="103"/>
      <c r="E362" s="103"/>
    </row>
    <row r="363" customHeight="1" spans="1:5">
      <c r="A363" s="103"/>
      <c r="B363" s="104"/>
      <c r="C363" s="103"/>
      <c r="D363" s="103"/>
      <c r="E363" s="103"/>
    </row>
    <row r="364" customHeight="1" spans="1:5">
      <c r="A364" s="103"/>
      <c r="B364" s="104"/>
      <c r="C364" s="103"/>
      <c r="D364" s="103"/>
      <c r="E364" s="103"/>
    </row>
    <row r="365" customHeight="1" spans="1:5">
      <c r="A365" s="103"/>
      <c r="B365" s="104"/>
      <c r="C365" s="103"/>
      <c r="D365" s="103"/>
      <c r="E365" s="103"/>
    </row>
    <row r="366" customHeight="1" spans="1:5">
      <c r="A366" s="103"/>
      <c r="B366" s="104"/>
      <c r="C366" s="103"/>
      <c r="D366" s="103"/>
      <c r="E366" s="103"/>
    </row>
    <row r="367" customHeight="1" spans="1:5">
      <c r="A367" s="103"/>
      <c r="B367" s="104"/>
      <c r="C367" s="103"/>
      <c r="D367" s="103"/>
      <c r="E367" s="103"/>
    </row>
    <row r="368" customHeight="1" spans="1:5">
      <c r="A368" s="103"/>
      <c r="B368" s="104"/>
      <c r="C368" s="103"/>
      <c r="D368" s="103"/>
      <c r="E368" s="103"/>
    </row>
    <row r="369" customHeight="1" spans="1:5">
      <c r="A369" s="103"/>
      <c r="B369" s="104"/>
      <c r="C369" s="103"/>
      <c r="D369" s="103"/>
      <c r="E369" s="103"/>
    </row>
    <row r="370" customHeight="1" spans="1:5">
      <c r="A370" s="103"/>
      <c r="B370" s="104"/>
      <c r="C370" s="103"/>
      <c r="D370" s="103"/>
      <c r="E370" s="103"/>
    </row>
    <row r="371" customHeight="1" spans="1:5">
      <c r="A371" s="103"/>
      <c r="B371" s="104"/>
      <c r="C371" s="103"/>
      <c r="D371" s="103"/>
      <c r="E371" s="103"/>
    </row>
    <row r="372" customHeight="1" spans="1:5">
      <c r="A372" s="103"/>
      <c r="B372" s="104"/>
      <c r="C372" s="103"/>
      <c r="D372" s="103"/>
      <c r="E372" s="103"/>
    </row>
    <row r="373" customHeight="1" spans="1:5">
      <c r="A373" s="103"/>
      <c r="B373" s="104"/>
      <c r="C373" s="103"/>
      <c r="D373" s="103"/>
      <c r="E373" s="103"/>
    </row>
    <row r="374" customHeight="1" spans="1:5">
      <c r="A374" s="103"/>
      <c r="B374" s="104"/>
      <c r="C374" s="103"/>
      <c r="D374" s="103"/>
      <c r="E374" s="103"/>
    </row>
    <row r="375" customHeight="1" spans="1:5">
      <c r="A375" s="103"/>
      <c r="B375" s="104"/>
      <c r="C375" s="103"/>
      <c r="D375" s="103"/>
      <c r="E375" s="103"/>
    </row>
    <row r="376" customHeight="1" spans="1:5">
      <c r="A376" s="103"/>
      <c r="B376" s="104"/>
      <c r="C376" s="103"/>
      <c r="D376" s="103"/>
      <c r="E376" s="103"/>
    </row>
    <row r="377" customHeight="1" spans="1:5">
      <c r="A377" s="103"/>
      <c r="B377" s="104"/>
      <c r="C377" s="103"/>
      <c r="D377" s="103"/>
      <c r="E377" s="103"/>
    </row>
    <row r="378" customHeight="1" spans="1:5">
      <c r="A378" s="103"/>
      <c r="B378" s="104"/>
      <c r="C378" s="103"/>
      <c r="D378" s="103"/>
      <c r="E378" s="103"/>
    </row>
    <row r="379" customHeight="1" spans="1:5">
      <c r="A379" s="103"/>
      <c r="B379" s="104"/>
      <c r="C379" s="103"/>
      <c r="D379" s="103"/>
      <c r="E379" s="103"/>
    </row>
    <row r="380" customHeight="1" spans="1:5">
      <c r="A380" s="103"/>
      <c r="B380" s="104"/>
      <c r="C380" s="103"/>
      <c r="D380" s="103"/>
      <c r="E380" s="103"/>
    </row>
    <row r="381" customHeight="1" spans="1:5">
      <c r="A381" s="103"/>
      <c r="B381" s="104"/>
      <c r="C381" s="103"/>
      <c r="D381" s="103"/>
      <c r="E381" s="103"/>
    </row>
    <row r="382" customHeight="1" spans="1:5">
      <c r="A382" s="103"/>
      <c r="B382" s="104"/>
      <c r="C382" s="103"/>
      <c r="D382" s="103"/>
      <c r="E382" s="103"/>
    </row>
    <row r="383" customHeight="1" spans="1:5">
      <c r="A383" s="103"/>
      <c r="B383" s="104"/>
      <c r="C383" s="103"/>
      <c r="D383" s="103"/>
      <c r="E383" s="103"/>
    </row>
    <row r="384" customHeight="1" spans="1:5">
      <c r="A384" s="103"/>
      <c r="B384" s="104"/>
      <c r="C384" s="103"/>
      <c r="D384" s="103"/>
      <c r="E384" s="103"/>
    </row>
    <row r="385" customHeight="1" spans="1:5">
      <c r="A385" s="103"/>
      <c r="B385" s="104"/>
      <c r="C385" s="103"/>
      <c r="D385" s="103"/>
      <c r="E385" s="103"/>
    </row>
    <row r="386" customHeight="1" spans="1:5">
      <c r="A386" s="103"/>
      <c r="B386" s="104"/>
      <c r="C386" s="103"/>
      <c r="D386" s="103"/>
      <c r="E386" s="103"/>
    </row>
    <row r="387" customHeight="1" spans="1:5">
      <c r="A387" s="103"/>
      <c r="B387" s="104"/>
      <c r="C387" s="103"/>
      <c r="D387" s="103"/>
      <c r="E387" s="103"/>
    </row>
    <row r="388" customHeight="1" spans="1:5">
      <c r="A388" s="103"/>
      <c r="B388" s="104"/>
      <c r="C388" s="103"/>
      <c r="D388" s="103"/>
      <c r="E388" s="103"/>
    </row>
    <row r="389" customHeight="1" spans="1:5">
      <c r="A389" s="103"/>
      <c r="B389" s="104"/>
      <c r="C389" s="103"/>
      <c r="D389" s="103"/>
      <c r="E389" s="103"/>
    </row>
    <row r="390" customHeight="1" spans="1:5">
      <c r="A390" s="103"/>
      <c r="B390" s="104"/>
      <c r="C390" s="103"/>
      <c r="D390" s="103"/>
      <c r="E390" s="103"/>
    </row>
    <row r="391" customHeight="1" spans="1:5">
      <c r="A391" s="103"/>
      <c r="B391" s="104"/>
      <c r="C391" s="103"/>
      <c r="D391" s="103"/>
      <c r="E391" s="103"/>
    </row>
    <row r="392" customHeight="1" spans="1:5">
      <c r="A392" s="103"/>
      <c r="B392" s="104"/>
      <c r="C392" s="103"/>
      <c r="D392" s="103"/>
      <c r="E392" s="103"/>
    </row>
    <row r="393" customHeight="1" spans="1:5">
      <c r="A393" s="103"/>
      <c r="B393" s="104"/>
      <c r="C393" s="103"/>
      <c r="D393" s="103"/>
      <c r="E393" s="103"/>
    </row>
    <row r="394" customHeight="1" spans="1:5">
      <c r="A394" s="103"/>
      <c r="B394" s="104"/>
      <c r="C394" s="103"/>
      <c r="D394" s="103"/>
      <c r="E394" s="103"/>
    </row>
    <row r="395" customHeight="1" spans="1:5">
      <c r="A395" s="103"/>
      <c r="B395" s="104"/>
      <c r="C395" s="103"/>
      <c r="D395" s="103"/>
      <c r="E395" s="103"/>
    </row>
    <row r="396" customHeight="1" spans="1:5">
      <c r="A396" s="103"/>
      <c r="B396" s="104"/>
      <c r="C396" s="103"/>
      <c r="D396" s="103"/>
      <c r="E396" s="103"/>
    </row>
    <row r="397" customHeight="1" spans="1:5">
      <c r="A397" s="103"/>
      <c r="B397" s="104"/>
      <c r="C397" s="103"/>
      <c r="D397" s="103"/>
      <c r="E397" s="103"/>
    </row>
    <row r="398" customHeight="1" spans="1:5">
      <c r="A398" s="103"/>
      <c r="B398" s="104"/>
      <c r="C398" s="103"/>
      <c r="D398" s="103"/>
      <c r="E398" s="103"/>
    </row>
    <row r="399" customHeight="1" spans="1:5">
      <c r="A399" s="103"/>
      <c r="B399" s="104"/>
      <c r="C399" s="103"/>
      <c r="D399" s="103"/>
      <c r="E399" s="103"/>
    </row>
    <row r="400" customHeight="1" spans="1:5">
      <c r="A400" s="103"/>
      <c r="B400" s="104"/>
      <c r="C400" s="103"/>
      <c r="D400" s="103"/>
      <c r="E400" s="103"/>
    </row>
    <row r="401" customHeight="1" spans="1:5">
      <c r="A401" s="103"/>
      <c r="B401" s="104"/>
      <c r="C401" s="103"/>
      <c r="D401" s="103"/>
      <c r="E401" s="103"/>
    </row>
    <row r="402" customHeight="1" spans="1:5">
      <c r="A402" s="103"/>
      <c r="B402" s="104"/>
      <c r="C402" s="103"/>
      <c r="D402" s="103"/>
      <c r="E402" s="103"/>
    </row>
    <row r="403" customHeight="1" spans="1:5">
      <c r="A403" s="103"/>
      <c r="B403" s="104"/>
      <c r="C403" s="103"/>
      <c r="D403" s="103"/>
      <c r="E403" s="103"/>
    </row>
    <row r="404" customHeight="1" spans="1:5">
      <c r="A404" s="103"/>
      <c r="B404" s="104"/>
      <c r="C404" s="103"/>
      <c r="D404" s="103"/>
      <c r="E404" s="103"/>
    </row>
    <row r="405" customHeight="1" spans="1:5">
      <c r="A405" s="103"/>
      <c r="B405" s="104"/>
      <c r="C405" s="103"/>
      <c r="D405" s="103"/>
      <c r="E405" s="103"/>
    </row>
    <row r="406" customHeight="1" spans="1:5">
      <c r="A406" s="103"/>
      <c r="B406" s="104"/>
      <c r="C406" s="103"/>
      <c r="D406" s="103"/>
      <c r="E406" s="103"/>
    </row>
    <row r="407" customHeight="1" spans="1:5">
      <c r="A407" s="103"/>
      <c r="B407" s="104"/>
      <c r="C407" s="103"/>
      <c r="D407" s="103"/>
      <c r="E407" s="103"/>
    </row>
    <row r="408" customHeight="1" spans="1:5">
      <c r="A408" s="103"/>
      <c r="B408" s="104"/>
      <c r="C408" s="103"/>
      <c r="D408" s="103"/>
      <c r="E408" s="103"/>
    </row>
    <row r="409" customHeight="1" spans="1:5">
      <c r="A409" s="103"/>
      <c r="B409" s="104"/>
      <c r="C409" s="103"/>
      <c r="D409" s="103"/>
      <c r="E409" s="103"/>
    </row>
    <row r="410" customHeight="1" spans="1:5">
      <c r="A410" s="103"/>
      <c r="B410" s="104"/>
      <c r="C410" s="103"/>
      <c r="D410" s="103"/>
      <c r="E410" s="103"/>
    </row>
    <row r="411" customHeight="1" spans="1:5">
      <c r="A411" s="103"/>
      <c r="B411" s="104"/>
      <c r="C411" s="103"/>
      <c r="D411" s="103"/>
      <c r="E411" s="103"/>
    </row>
    <row r="412" customHeight="1" spans="1:5">
      <c r="A412" s="103"/>
      <c r="B412" s="104"/>
      <c r="C412" s="103"/>
      <c r="D412" s="103"/>
      <c r="E412" s="103"/>
    </row>
    <row r="413" customHeight="1" spans="1:5">
      <c r="A413" s="103"/>
      <c r="B413" s="104"/>
      <c r="C413" s="103"/>
      <c r="D413" s="103"/>
      <c r="E413" s="103"/>
    </row>
    <row r="414" customHeight="1" spans="1:5">
      <c r="A414" s="103"/>
      <c r="B414" s="104"/>
      <c r="C414" s="103"/>
      <c r="D414" s="103"/>
      <c r="E414" s="103"/>
    </row>
    <row r="415" customHeight="1" spans="1:5">
      <c r="A415" s="103"/>
      <c r="B415" s="104"/>
      <c r="C415" s="103"/>
      <c r="D415" s="103"/>
      <c r="E415" s="103"/>
    </row>
    <row r="416" customHeight="1" spans="1:5">
      <c r="A416" s="103"/>
      <c r="B416" s="104"/>
      <c r="C416" s="103"/>
      <c r="D416" s="103"/>
      <c r="E416" s="103"/>
    </row>
    <row r="417" customHeight="1" spans="1:5">
      <c r="A417" s="103"/>
      <c r="B417" s="104"/>
      <c r="C417" s="103"/>
      <c r="D417" s="103"/>
      <c r="E417" s="103"/>
    </row>
    <row r="418" customHeight="1" spans="1:5">
      <c r="A418" s="103"/>
      <c r="B418" s="104"/>
      <c r="C418" s="103"/>
      <c r="D418" s="103"/>
      <c r="E418" s="103"/>
    </row>
    <row r="419" customHeight="1" spans="1:5">
      <c r="A419" s="103"/>
      <c r="B419" s="104"/>
      <c r="C419" s="103"/>
      <c r="D419" s="103"/>
      <c r="E419" s="103"/>
    </row>
    <row r="420" customHeight="1" spans="1:5">
      <c r="A420" s="103"/>
      <c r="B420" s="104"/>
      <c r="C420" s="103"/>
      <c r="D420" s="103"/>
      <c r="E420" s="103"/>
    </row>
    <row r="421" customHeight="1" spans="1:5">
      <c r="A421" s="103"/>
      <c r="B421" s="104"/>
      <c r="C421" s="103"/>
      <c r="D421" s="103"/>
      <c r="E421" s="103"/>
    </row>
    <row r="422" customHeight="1" spans="1:5">
      <c r="A422" s="103"/>
      <c r="B422" s="104"/>
      <c r="C422" s="103"/>
      <c r="D422" s="103"/>
      <c r="E422" s="103"/>
    </row>
    <row r="423" customHeight="1" spans="1:5">
      <c r="A423" s="103"/>
      <c r="B423" s="104"/>
      <c r="C423" s="103"/>
      <c r="D423" s="103"/>
      <c r="E423" s="103"/>
    </row>
    <row r="424" customHeight="1" spans="1:5">
      <c r="A424" s="103"/>
      <c r="B424" s="104"/>
      <c r="C424" s="103"/>
      <c r="D424" s="103"/>
      <c r="E424" s="103"/>
    </row>
    <row r="425" customHeight="1" spans="1:5">
      <c r="A425" s="103"/>
      <c r="B425" s="104"/>
      <c r="C425" s="103"/>
      <c r="D425" s="103"/>
      <c r="E425" s="103"/>
    </row>
    <row r="426" customHeight="1" spans="1:5">
      <c r="A426" s="103"/>
      <c r="B426" s="104"/>
      <c r="C426" s="103"/>
      <c r="D426" s="103"/>
      <c r="E426" s="103"/>
    </row>
    <row r="427" customHeight="1" spans="1:5">
      <c r="A427" s="103"/>
      <c r="B427" s="104"/>
      <c r="C427" s="103"/>
      <c r="D427" s="103"/>
      <c r="E427" s="103"/>
    </row>
    <row r="428" customHeight="1" spans="1:5">
      <c r="A428" s="103"/>
      <c r="B428" s="104"/>
      <c r="C428" s="103"/>
      <c r="D428" s="103"/>
      <c r="E428" s="103"/>
    </row>
    <row r="429" customHeight="1" spans="1:5">
      <c r="A429" s="103"/>
      <c r="B429" s="104"/>
      <c r="C429" s="103"/>
      <c r="D429" s="103"/>
      <c r="E429" s="103"/>
    </row>
    <row r="430" customHeight="1" spans="1:5">
      <c r="A430" s="103"/>
      <c r="B430" s="104"/>
      <c r="C430" s="103"/>
      <c r="D430" s="103"/>
      <c r="E430" s="103"/>
    </row>
    <row r="431" customHeight="1" spans="1:5">
      <c r="A431" s="103"/>
      <c r="B431" s="104"/>
      <c r="C431" s="103"/>
      <c r="D431" s="103"/>
      <c r="E431" s="103"/>
    </row>
    <row r="432" customHeight="1" spans="1:5">
      <c r="A432" s="103"/>
      <c r="B432" s="104"/>
      <c r="C432" s="103"/>
      <c r="D432" s="103"/>
      <c r="E432" s="103"/>
    </row>
    <row r="433" customHeight="1" spans="1:5">
      <c r="A433" s="103"/>
      <c r="B433" s="104"/>
      <c r="C433" s="103"/>
      <c r="D433" s="103"/>
      <c r="E433" s="103"/>
    </row>
    <row r="434" customHeight="1" spans="1:5">
      <c r="A434" s="103"/>
      <c r="B434" s="104"/>
      <c r="C434" s="103"/>
      <c r="D434" s="103"/>
      <c r="E434" s="103"/>
    </row>
    <row r="435" customHeight="1" spans="1:5">
      <c r="A435" s="103"/>
      <c r="B435" s="104"/>
      <c r="C435" s="103"/>
      <c r="D435" s="103"/>
      <c r="E435" s="103"/>
    </row>
    <row r="436" customHeight="1" spans="1:5">
      <c r="A436" s="103"/>
      <c r="B436" s="104"/>
      <c r="C436" s="103"/>
      <c r="D436" s="103"/>
      <c r="E436" s="103"/>
    </row>
    <row r="437" customHeight="1" spans="1:5">
      <c r="A437" s="103"/>
      <c r="B437" s="104"/>
      <c r="C437" s="103"/>
      <c r="D437" s="103"/>
      <c r="E437" s="103"/>
    </row>
    <row r="438" customHeight="1" spans="1:5">
      <c r="A438" s="103"/>
      <c r="B438" s="104"/>
      <c r="C438" s="103"/>
      <c r="D438" s="103"/>
      <c r="E438" s="103"/>
    </row>
    <row r="439" customHeight="1" spans="1:5">
      <c r="A439" s="103"/>
      <c r="B439" s="104"/>
      <c r="C439" s="103"/>
      <c r="D439" s="103"/>
      <c r="E439" s="103"/>
    </row>
    <row r="440" customHeight="1" spans="1:5">
      <c r="A440" s="103"/>
      <c r="B440" s="104"/>
      <c r="C440" s="103"/>
      <c r="D440" s="103"/>
      <c r="E440" s="103"/>
    </row>
    <row r="441" customHeight="1" spans="1:5">
      <c r="A441" s="103"/>
      <c r="B441" s="104"/>
      <c r="C441" s="103"/>
      <c r="D441" s="103"/>
      <c r="E441" s="103"/>
    </row>
    <row r="442" customHeight="1" spans="1:5">
      <c r="A442" s="103"/>
      <c r="B442" s="104"/>
      <c r="C442" s="103"/>
      <c r="D442" s="103"/>
      <c r="E442" s="103"/>
    </row>
    <row r="443" customHeight="1" spans="1:5">
      <c r="A443" s="103"/>
      <c r="B443" s="104"/>
      <c r="C443" s="103"/>
      <c r="D443" s="103"/>
      <c r="E443" s="103"/>
    </row>
    <row r="444" customHeight="1" spans="1:5">
      <c r="A444" s="103"/>
      <c r="B444" s="104"/>
      <c r="C444" s="103"/>
      <c r="D444" s="103"/>
      <c r="E444" s="103"/>
    </row>
    <row r="445" customHeight="1" spans="1:5">
      <c r="A445" s="103"/>
      <c r="B445" s="104"/>
      <c r="C445" s="103"/>
      <c r="D445" s="103"/>
      <c r="E445" s="103"/>
    </row>
    <row r="446" customHeight="1" spans="1:5">
      <c r="A446" s="103"/>
      <c r="B446" s="104"/>
      <c r="C446" s="103"/>
      <c r="D446" s="103"/>
      <c r="E446" s="103"/>
    </row>
    <row r="447" customHeight="1" spans="1:5">
      <c r="A447" s="103"/>
      <c r="B447" s="104"/>
      <c r="C447" s="103"/>
      <c r="D447" s="103"/>
      <c r="E447" s="103"/>
    </row>
    <row r="448" customHeight="1" spans="1:5">
      <c r="A448" s="103"/>
      <c r="B448" s="104"/>
      <c r="C448" s="103"/>
      <c r="D448" s="103"/>
      <c r="E448" s="103"/>
    </row>
    <row r="449" customHeight="1" spans="1:5">
      <c r="A449" s="103"/>
      <c r="B449" s="104"/>
      <c r="C449" s="103"/>
      <c r="D449" s="103"/>
      <c r="E449" s="103"/>
    </row>
    <row r="450" customHeight="1" spans="1:5">
      <c r="A450" s="103"/>
      <c r="B450" s="104"/>
      <c r="C450" s="103"/>
      <c r="D450" s="103"/>
      <c r="E450" s="103"/>
    </row>
    <row r="451" customHeight="1" spans="1:5">
      <c r="A451" s="103"/>
      <c r="B451" s="104"/>
      <c r="C451" s="103"/>
      <c r="D451" s="103"/>
      <c r="E451" s="103"/>
    </row>
    <row r="452" customHeight="1" spans="1:5">
      <c r="A452" s="103"/>
      <c r="B452" s="104"/>
      <c r="C452" s="103"/>
      <c r="D452" s="103"/>
      <c r="E452" s="103"/>
    </row>
    <row r="453" customHeight="1" spans="1:5">
      <c r="A453" s="103"/>
      <c r="B453" s="104"/>
      <c r="C453" s="103"/>
      <c r="D453" s="103"/>
      <c r="E453" s="103"/>
    </row>
    <row r="454" customHeight="1" spans="1:5">
      <c r="A454" s="103"/>
      <c r="B454" s="104"/>
      <c r="C454" s="103"/>
      <c r="D454" s="103"/>
      <c r="E454" s="103"/>
    </row>
    <row r="455" customHeight="1" spans="1:5">
      <c r="A455" s="103"/>
      <c r="B455" s="104"/>
      <c r="C455" s="103"/>
      <c r="D455" s="103"/>
      <c r="E455" s="103"/>
    </row>
    <row r="456" customHeight="1" spans="1:5">
      <c r="A456" s="103"/>
      <c r="B456" s="104"/>
      <c r="C456" s="103"/>
      <c r="D456" s="103"/>
      <c r="E456" s="103"/>
    </row>
    <row r="457" customHeight="1" spans="1:5">
      <c r="A457" s="103"/>
      <c r="B457" s="104"/>
      <c r="C457" s="103"/>
      <c r="D457" s="103"/>
      <c r="E457" s="103"/>
    </row>
    <row r="458" customHeight="1" spans="1:5">
      <c r="A458" s="103"/>
      <c r="B458" s="104"/>
      <c r="C458" s="103"/>
      <c r="D458" s="103"/>
      <c r="E458" s="103"/>
    </row>
    <row r="459" customHeight="1" spans="1:5">
      <c r="A459" s="103"/>
      <c r="B459" s="104"/>
      <c r="C459" s="103"/>
      <c r="D459" s="103"/>
      <c r="E459" s="103"/>
    </row>
    <row r="460" customHeight="1" spans="1:5">
      <c r="A460" s="103"/>
      <c r="B460" s="104"/>
      <c r="C460" s="103"/>
      <c r="D460" s="103"/>
      <c r="E460" s="103"/>
    </row>
    <row r="461" customHeight="1" spans="1:5">
      <c r="A461" s="103"/>
      <c r="B461" s="104"/>
      <c r="C461" s="103"/>
      <c r="D461" s="103"/>
      <c r="E461" s="103"/>
    </row>
    <row r="462" customHeight="1" spans="1:5">
      <c r="A462" s="103"/>
      <c r="B462" s="104"/>
      <c r="C462" s="103"/>
      <c r="D462" s="103"/>
      <c r="E462" s="103"/>
    </row>
    <row r="463" customHeight="1" spans="1:5">
      <c r="A463" s="103"/>
      <c r="B463" s="104"/>
      <c r="C463" s="103"/>
      <c r="D463" s="103"/>
      <c r="E463" s="103"/>
    </row>
    <row r="464" customHeight="1" spans="1:5">
      <c r="A464" s="103"/>
      <c r="B464" s="104"/>
      <c r="C464" s="103"/>
      <c r="D464" s="103"/>
      <c r="E464" s="103"/>
    </row>
    <row r="465" customHeight="1" spans="1:5">
      <c r="A465" s="103"/>
      <c r="B465" s="104"/>
      <c r="C465" s="103"/>
      <c r="D465" s="103"/>
      <c r="E465" s="103"/>
    </row>
    <row r="466" customHeight="1" spans="1:5">
      <c r="A466" s="103"/>
      <c r="B466" s="104"/>
      <c r="C466" s="103"/>
      <c r="D466" s="103"/>
      <c r="E466" s="103"/>
    </row>
    <row r="467" customHeight="1" spans="1:5">
      <c r="A467" s="103"/>
      <c r="B467" s="104"/>
      <c r="C467" s="103"/>
      <c r="D467" s="103"/>
      <c r="E467" s="103"/>
    </row>
    <row r="468" customHeight="1" spans="1:5">
      <c r="A468" s="103"/>
      <c r="B468" s="104"/>
      <c r="C468" s="103"/>
      <c r="D468" s="103"/>
      <c r="E468" s="103"/>
    </row>
    <row r="469" customHeight="1" spans="1:5">
      <c r="A469" s="103"/>
      <c r="B469" s="104"/>
      <c r="C469" s="103"/>
      <c r="D469" s="103"/>
      <c r="E469" s="103"/>
    </row>
    <row r="470" customHeight="1" spans="1:5">
      <c r="A470" s="103"/>
      <c r="B470" s="104"/>
      <c r="C470" s="103"/>
      <c r="D470" s="103"/>
      <c r="E470" s="103"/>
    </row>
    <row r="471" customHeight="1" spans="1:5">
      <c r="A471" s="103"/>
      <c r="B471" s="104"/>
      <c r="C471" s="103"/>
      <c r="D471" s="103"/>
      <c r="E471" s="103"/>
    </row>
    <row r="472" customHeight="1" spans="1:5">
      <c r="A472" s="103"/>
      <c r="B472" s="104"/>
      <c r="C472" s="103"/>
      <c r="D472" s="103"/>
      <c r="E472" s="103"/>
    </row>
    <row r="473" customHeight="1" spans="1:5">
      <c r="A473" s="103"/>
      <c r="B473" s="104"/>
      <c r="C473" s="103"/>
      <c r="D473" s="103"/>
      <c r="E473" s="103"/>
    </row>
    <row r="474" customHeight="1" spans="1:5">
      <c r="A474" s="103"/>
      <c r="B474" s="104"/>
      <c r="C474" s="103"/>
      <c r="D474" s="103"/>
      <c r="E474" s="103"/>
    </row>
    <row r="475" customHeight="1" spans="1:5">
      <c r="A475" s="103"/>
      <c r="B475" s="104"/>
      <c r="C475" s="103"/>
      <c r="D475" s="103"/>
      <c r="E475" s="103"/>
    </row>
    <row r="476" customHeight="1" spans="1:5">
      <c r="A476" s="103"/>
      <c r="B476" s="104"/>
      <c r="C476" s="103"/>
      <c r="D476" s="103"/>
      <c r="E476" s="103"/>
    </row>
    <row r="477" customHeight="1" spans="1:5">
      <c r="A477" s="103"/>
      <c r="B477" s="104"/>
      <c r="C477" s="103"/>
      <c r="D477" s="103"/>
      <c r="E477" s="103"/>
    </row>
    <row r="478" customHeight="1" spans="1:5">
      <c r="A478" s="103"/>
      <c r="B478" s="104"/>
      <c r="C478" s="103"/>
      <c r="D478" s="103"/>
      <c r="E478" s="103"/>
    </row>
    <row r="479" customHeight="1" spans="1:5">
      <c r="A479" s="103"/>
      <c r="B479" s="104"/>
      <c r="C479" s="103"/>
      <c r="D479" s="103"/>
      <c r="E479" s="103"/>
    </row>
    <row r="480" customHeight="1" spans="1:5">
      <c r="A480" s="103"/>
      <c r="B480" s="104"/>
      <c r="C480" s="103"/>
      <c r="D480" s="103"/>
      <c r="E480" s="103"/>
    </row>
    <row r="481" customHeight="1" spans="1:5">
      <c r="A481" s="103"/>
      <c r="B481" s="104"/>
      <c r="C481" s="103"/>
      <c r="D481" s="103"/>
      <c r="E481" s="103"/>
    </row>
    <row r="482" customHeight="1" spans="1:5">
      <c r="A482" s="103"/>
      <c r="B482" s="104"/>
      <c r="C482" s="103"/>
      <c r="D482" s="103"/>
      <c r="E482" s="103"/>
    </row>
    <row r="483" customHeight="1" spans="1:5">
      <c r="A483" s="103"/>
      <c r="B483" s="104"/>
      <c r="C483" s="103"/>
      <c r="D483" s="103"/>
      <c r="E483" s="103"/>
    </row>
    <row r="484" customHeight="1" spans="1:5">
      <c r="A484" s="103"/>
      <c r="B484" s="104"/>
      <c r="C484" s="103"/>
      <c r="D484" s="103"/>
      <c r="E484" s="103"/>
    </row>
    <row r="485" customHeight="1" spans="1:5">
      <c r="A485" s="103"/>
      <c r="B485" s="104"/>
      <c r="C485" s="103"/>
      <c r="D485" s="103"/>
      <c r="E485" s="103"/>
    </row>
    <row r="486" customHeight="1" spans="1:5">
      <c r="A486" s="103"/>
      <c r="B486" s="104"/>
      <c r="C486" s="103"/>
      <c r="D486" s="103"/>
      <c r="E486" s="103"/>
    </row>
    <row r="487" customHeight="1" spans="1:5">
      <c r="A487" s="103"/>
      <c r="B487" s="104"/>
      <c r="C487" s="103"/>
      <c r="D487" s="103"/>
      <c r="E487" s="103"/>
    </row>
    <row r="488" customHeight="1" spans="1:5">
      <c r="A488" s="103"/>
      <c r="B488" s="104"/>
      <c r="C488" s="103"/>
      <c r="D488" s="103"/>
      <c r="E488" s="103"/>
    </row>
    <row r="489" customHeight="1" spans="1:5">
      <c r="A489" s="103"/>
      <c r="B489" s="104"/>
      <c r="C489" s="103"/>
      <c r="D489" s="103"/>
      <c r="E489" s="103"/>
    </row>
    <row r="490" customHeight="1" spans="1:5">
      <c r="A490" s="103"/>
      <c r="B490" s="104"/>
      <c r="C490" s="103"/>
      <c r="D490" s="103"/>
      <c r="E490" s="103"/>
    </row>
    <row r="491" customHeight="1" spans="1:5">
      <c r="A491" s="103"/>
      <c r="B491" s="104"/>
      <c r="C491" s="103"/>
      <c r="D491" s="103"/>
      <c r="E491" s="103"/>
    </row>
    <row r="492" customHeight="1" spans="1:5">
      <c r="A492" s="103"/>
      <c r="B492" s="104"/>
      <c r="C492" s="103"/>
      <c r="D492" s="103"/>
      <c r="E492" s="103"/>
    </row>
    <row r="493" customHeight="1" spans="1:5">
      <c r="A493" s="103"/>
      <c r="B493" s="104"/>
      <c r="C493" s="103"/>
      <c r="D493" s="103"/>
      <c r="E493" s="103"/>
    </row>
    <row r="494" customHeight="1" spans="1:5">
      <c r="A494" s="103"/>
      <c r="B494" s="104"/>
      <c r="C494" s="103"/>
      <c r="D494" s="103"/>
      <c r="E494" s="103"/>
    </row>
    <row r="495" customHeight="1" spans="1:5">
      <c r="A495" s="103"/>
      <c r="B495" s="104"/>
      <c r="C495" s="103"/>
      <c r="D495" s="103"/>
      <c r="E495" s="103"/>
    </row>
    <row r="496" customHeight="1" spans="1:5">
      <c r="A496" s="103"/>
      <c r="B496" s="104"/>
      <c r="C496" s="103"/>
      <c r="D496" s="103"/>
      <c r="E496" s="103"/>
    </row>
    <row r="497" customHeight="1" spans="1:5">
      <c r="A497" s="103"/>
      <c r="B497" s="104"/>
      <c r="C497" s="103"/>
      <c r="D497" s="103"/>
      <c r="E497" s="103"/>
    </row>
    <row r="498" customHeight="1" spans="1:5">
      <c r="A498" s="103"/>
      <c r="B498" s="104"/>
      <c r="C498" s="103"/>
      <c r="D498" s="103"/>
      <c r="E498" s="103"/>
    </row>
    <row r="499" customHeight="1" spans="1:5">
      <c r="A499" s="103"/>
      <c r="B499" s="104"/>
      <c r="C499" s="103"/>
      <c r="D499" s="103"/>
      <c r="E499" s="103"/>
    </row>
    <row r="500" customHeight="1" spans="1:5">
      <c r="A500" s="103"/>
      <c r="B500" s="104"/>
      <c r="C500" s="103"/>
      <c r="D500" s="103"/>
      <c r="E500" s="103"/>
    </row>
    <row r="501" customHeight="1" spans="1:5">
      <c r="A501" s="103"/>
      <c r="B501" s="104"/>
      <c r="C501" s="103"/>
      <c r="D501" s="103"/>
      <c r="E501" s="103"/>
    </row>
    <row r="502" customHeight="1" spans="1:5">
      <c r="A502" s="103"/>
      <c r="B502" s="104"/>
      <c r="C502" s="103"/>
      <c r="D502" s="103"/>
      <c r="E502" s="103"/>
    </row>
    <row r="503" customHeight="1" spans="1:5">
      <c r="A503" s="103"/>
      <c r="B503" s="104"/>
      <c r="C503" s="103"/>
      <c r="D503" s="103"/>
      <c r="E503" s="103"/>
    </row>
    <row r="504" customHeight="1" spans="1:5">
      <c r="A504" s="103"/>
      <c r="B504" s="104"/>
      <c r="C504" s="103"/>
      <c r="D504" s="103"/>
      <c r="E504" s="103"/>
    </row>
    <row r="505" customHeight="1" spans="1:5">
      <c r="A505" s="103"/>
      <c r="B505" s="104"/>
      <c r="C505" s="103"/>
      <c r="D505" s="103"/>
      <c r="E505" s="103"/>
    </row>
    <row r="506" customHeight="1" spans="1:5">
      <c r="A506" s="103"/>
      <c r="B506" s="104"/>
      <c r="C506" s="103"/>
      <c r="D506" s="103"/>
      <c r="E506" s="103"/>
    </row>
    <row r="507" customHeight="1" spans="1:5">
      <c r="A507" s="103"/>
      <c r="B507" s="104"/>
      <c r="C507" s="103"/>
      <c r="D507" s="103"/>
      <c r="E507" s="103"/>
    </row>
    <row r="508" customHeight="1" spans="1:5">
      <c r="A508" s="103"/>
      <c r="B508" s="104"/>
      <c r="C508" s="103"/>
      <c r="D508" s="103"/>
      <c r="E508" s="103"/>
    </row>
    <row r="509" customHeight="1" spans="1:5">
      <c r="A509" s="103"/>
      <c r="B509" s="104"/>
      <c r="C509" s="103"/>
      <c r="D509" s="103"/>
      <c r="E509" s="103"/>
    </row>
    <row r="510" customHeight="1" spans="1:5">
      <c r="A510" s="103"/>
      <c r="B510" s="104"/>
      <c r="C510" s="103"/>
      <c r="D510" s="103"/>
      <c r="E510" s="103"/>
    </row>
    <row r="511" customHeight="1" spans="1:5">
      <c r="A511" s="103"/>
      <c r="B511" s="104"/>
      <c r="C511" s="103"/>
      <c r="D511" s="103"/>
      <c r="E511" s="103"/>
    </row>
    <row r="512" customHeight="1" spans="1:5">
      <c r="A512" s="103"/>
      <c r="B512" s="104"/>
      <c r="C512" s="103"/>
      <c r="D512" s="103"/>
      <c r="E512" s="103"/>
    </row>
    <row r="513" customHeight="1" spans="1:5">
      <c r="A513" s="103"/>
      <c r="B513" s="104"/>
      <c r="C513" s="103"/>
      <c r="D513" s="103"/>
      <c r="E513" s="103"/>
    </row>
    <row r="514" customHeight="1" spans="1:5">
      <c r="A514" s="103"/>
      <c r="B514" s="104"/>
      <c r="C514" s="103"/>
      <c r="D514" s="103"/>
      <c r="E514" s="103"/>
    </row>
    <row r="515" customHeight="1" spans="1:5">
      <c r="A515" s="103"/>
      <c r="B515" s="104"/>
      <c r="C515" s="103"/>
      <c r="D515" s="103"/>
      <c r="E515" s="103"/>
    </row>
    <row r="516" customHeight="1" spans="1:5">
      <c r="A516" s="103"/>
      <c r="B516" s="104"/>
      <c r="C516" s="103"/>
      <c r="D516" s="103"/>
      <c r="E516" s="103"/>
    </row>
    <row r="517" customHeight="1" spans="1:5">
      <c r="A517" s="103"/>
      <c r="B517" s="104"/>
      <c r="C517" s="103"/>
      <c r="D517" s="103"/>
      <c r="E517" s="103"/>
    </row>
    <row r="518" customHeight="1" spans="1:5">
      <c r="A518" s="103"/>
      <c r="B518" s="104"/>
      <c r="C518" s="103"/>
      <c r="D518" s="103"/>
      <c r="E518" s="103"/>
    </row>
    <row r="519" customHeight="1" spans="1:5">
      <c r="A519" s="103"/>
      <c r="B519" s="104"/>
      <c r="C519" s="103"/>
      <c r="D519" s="103"/>
      <c r="E519" s="103"/>
    </row>
    <row r="520" customHeight="1" spans="1:5">
      <c r="A520" s="103"/>
      <c r="B520" s="104"/>
      <c r="C520" s="103"/>
      <c r="D520" s="103"/>
      <c r="E520" s="103"/>
    </row>
    <row r="521" customHeight="1" spans="1:5">
      <c r="A521" s="103"/>
      <c r="B521" s="104"/>
      <c r="C521" s="103"/>
      <c r="D521" s="103"/>
      <c r="E521" s="103"/>
    </row>
    <row r="522" customHeight="1" spans="1:5">
      <c r="A522" s="103"/>
      <c r="B522" s="104"/>
      <c r="C522" s="103"/>
      <c r="D522" s="103"/>
      <c r="E522" s="103"/>
    </row>
    <row r="523" customHeight="1" spans="1:5">
      <c r="A523" s="103"/>
      <c r="B523" s="104"/>
      <c r="C523" s="103"/>
      <c r="D523" s="103"/>
      <c r="E523" s="103"/>
    </row>
    <row r="524" customHeight="1" spans="1:5">
      <c r="A524" s="103"/>
      <c r="B524" s="104"/>
      <c r="C524" s="103"/>
      <c r="D524" s="103"/>
      <c r="E524" s="103"/>
    </row>
    <row r="525" customHeight="1" spans="1:5">
      <c r="A525" s="103"/>
      <c r="B525" s="104"/>
      <c r="C525" s="103"/>
      <c r="D525" s="103"/>
      <c r="E525" s="103"/>
    </row>
    <row r="526" customHeight="1" spans="1:5">
      <c r="A526" s="103"/>
      <c r="B526" s="104"/>
      <c r="C526" s="103"/>
      <c r="D526" s="103"/>
      <c r="E526" s="103"/>
    </row>
    <row r="527" customHeight="1" spans="1:5">
      <c r="A527" s="103"/>
      <c r="B527" s="104"/>
      <c r="C527" s="103"/>
      <c r="D527" s="103"/>
      <c r="E527" s="103"/>
    </row>
    <row r="528" customHeight="1" spans="1:5">
      <c r="A528" s="103"/>
      <c r="B528" s="104"/>
      <c r="C528" s="103"/>
      <c r="D528" s="103"/>
      <c r="E528" s="103"/>
    </row>
    <row r="529" customHeight="1" spans="1:5">
      <c r="A529" s="103"/>
      <c r="B529" s="104"/>
      <c r="C529" s="103"/>
      <c r="D529" s="103"/>
      <c r="E529" s="103"/>
    </row>
    <row r="530" customHeight="1" spans="1:5">
      <c r="A530" s="103"/>
      <c r="B530" s="104"/>
      <c r="C530" s="103"/>
      <c r="D530" s="103"/>
      <c r="E530" s="103"/>
    </row>
    <row r="531" customHeight="1" spans="1:5">
      <c r="A531" s="103"/>
      <c r="B531" s="104"/>
      <c r="C531" s="103"/>
      <c r="D531" s="103"/>
      <c r="E531" s="103"/>
    </row>
    <row r="532" customHeight="1" spans="1:5">
      <c r="A532" s="103"/>
      <c r="B532" s="104"/>
      <c r="C532" s="103"/>
      <c r="D532" s="103"/>
      <c r="E532" s="103"/>
    </row>
    <row r="533" customHeight="1" spans="1:5">
      <c r="A533" s="103"/>
      <c r="B533" s="104"/>
      <c r="C533" s="103"/>
      <c r="D533" s="103"/>
      <c r="E533" s="103"/>
    </row>
    <row r="534" customHeight="1" spans="1:5">
      <c r="A534" s="103"/>
      <c r="B534" s="104"/>
      <c r="C534" s="103"/>
      <c r="D534" s="103"/>
      <c r="E534" s="103"/>
    </row>
    <row r="535" customHeight="1" spans="1:5">
      <c r="A535" s="103"/>
      <c r="B535" s="104"/>
      <c r="C535" s="103"/>
      <c r="D535" s="103"/>
      <c r="E535" s="103"/>
    </row>
    <row r="536" customHeight="1" spans="1:5">
      <c r="A536" s="103"/>
      <c r="B536" s="104"/>
      <c r="C536" s="103"/>
      <c r="D536" s="103"/>
      <c r="E536" s="103"/>
    </row>
    <row r="537" customHeight="1" spans="1:5">
      <c r="A537" s="103"/>
      <c r="B537" s="104"/>
      <c r="C537" s="103"/>
      <c r="D537" s="103"/>
      <c r="E537" s="103"/>
    </row>
    <row r="538" customHeight="1" spans="1:5">
      <c r="A538" s="103"/>
      <c r="B538" s="104"/>
      <c r="C538" s="103"/>
      <c r="D538" s="103"/>
      <c r="E538" s="103"/>
    </row>
    <row r="539" customHeight="1" spans="1:5">
      <c r="A539" s="103"/>
      <c r="B539" s="104"/>
      <c r="C539" s="103"/>
      <c r="D539" s="103"/>
      <c r="E539" s="103"/>
    </row>
    <row r="540" customHeight="1" spans="1:5">
      <c r="A540" s="103"/>
      <c r="B540" s="104"/>
      <c r="C540" s="103"/>
      <c r="D540" s="103"/>
      <c r="E540" s="103"/>
    </row>
    <row r="541" customHeight="1" spans="1:5">
      <c r="A541" s="103"/>
      <c r="B541" s="104"/>
      <c r="C541" s="103"/>
      <c r="D541" s="103"/>
      <c r="E541" s="103"/>
    </row>
    <row r="542" customHeight="1" spans="1:5">
      <c r="A542" s="103"/>
      <c r="B542" s="104"/>
      <c r="C542" s="103"/>
      <c r="D542" s="103"/>
      <c r="E542" s="103"/>
    </row>
    <row r="543" customHeight="1" spans="1:5">
      <c r="A543" s="103"/>
      <c r="B543" s="104"/>
      <c r="C543" s="103"/>
      <c r="D543" s="103"/>
      <c r="E543" s="103"/>
    </row>
    <row r="544" customHeight="1" spans="1:5">
      <c r="A544" s="103"/>
      <c r="B544" s="104"/>
      <c r="C544" s="103"/>
      <c r="D544" s="103"/>
      <c r="E544" s="103"/>
    </row>
    <row r="545" customHeight="1" spans="1:5">
      <c r="A545" s="103"/>
      <c r="B545" s="104"/>
      <c r="C545" s="103"/>
      <c r="D545" s="103"/>
      <c r="E545" s="103"/>
    </row>
    <row r="546" customHeight="1" spans="1:5">
      <c r="A546" s="103"/>
      <c r="B546" s="104"/>
      <c r="C546" s="103"/>
      <c r="D546" s="103"/>
      <c r="E546" s="103"/>
    </row>
    <row r="547" customHeight="1" spans="1:5">
      <c r="A547" s="103"/>
      <c r="B547" s="104"/>
      <c r="C547" s="103"/>
      <c r="D547" s="103"/>
      <c r="E547" s="103"/>
    </row>
    <row r="548" customHeight="1" spans="1:5">
      <c r="A548" s="103"/>
      <c r="B548" s="104"/>
      <c r="C548" s="103"/>
      <c r="D548" s="103"/>
      <c r="E548" s="103"/>
    </row>
    <row r="549" customHeight="1" spans="1:5">
      <c r="A549" s="103"/>
      <c r="B549" s="104"/>
      <c r="C549" s="103"/>
      <c r="D549" s="103"/>
      <c r="E549" s="103"/>
    </row>
    <row r="550" customHeight="1" spans="1:5">
      <c r="A550" s="103"/>
      <c r="B550" s="104"/>
      <c r="C550" s="103"/>
      <c r="D550" s="103"/>
      <c r="E550" s="103"/>
    </row>
    <row r="551" customHeight="1" spans="1:5">
      <c r="A551" s="103"/>
      <c r="B551" s="104"/>
      <c r="C551" s="103"/>
      <c r="D551" s="103"/>
      <c r="E551" s="103"/>
    </row>
    <row r="552" customHeight="1" spans="1:5">
      <c r="A552" s="103"/>
      <c r="B552" s="104"/>
      <c r="C552" s="103"/>
      <c r="D552" s="103"/>
      <c r="E552" s="103"/>
    </row>
    <row r="553" customHeight="1" spans="1:5">
      <c r="A553" s="103"/>
      <c r="B553" s="104"/>
      <c r="C553" s="103"/>
      <c r="D553" s="103"/>
      <c r="E553" s="103"/>
    </row>
    <row r="554" customHeight="1" spans="1:5">
      <c r="A554" s="103"/>
      <c r="B554" s="104"/>
      <c r="C554" s="103"/>
      <c r="D554" s="103"/>
      <c r="E554" s="103"/>
    </row>
    <row r="555" customHeight="1" spans="1:5">
      <c r="A555" s="103"/>
      <c r="B555" s="104"/>
      <c r="C555" s="103"/>
      <c r="D555" s="103"/>
      <c r="E555" s="103"/>
    </row>
    <row r="556" customHeight="1" spans="1:5">
      <c r="A556" s="103"/>
      <c r="B556" s="104"/>
      <c r="C556" s="103"/>
      <c r="D556" s="103"/>
      <c r="E556" s="103"/>
    </row>
    <row r="557" customHeight="1" spans="1:5">
      <c r="A557" s="103"/>
      <c r="B557" s="104"/>
      <c r="C557" s="103"/>
      <c r="D557" s="103"/>
      <c r="E557" s="103"/>
    </row>
    <row r="558" customHeight="1" spans="1:5">
      <c r="A558" s="103"/>
      <c r="B558" s="104"/>
      <c r="C558" s="103"/>
      <c r="D558" s="103"/>
      <c r="E558" s="103"/>
    </row>
    <row r="559" customHeight="1" spans="1:5">
      <c r="A559" s="103"/>
      <c r="B559" s="104"/>
      <c r="C559" s="103"/>
      <c r="D559" s="103"/>
      <c r="E559" s="103"/>
    </row>
    <row r="560" customHeight="1" spans="1:5">
      <c r="A560" s="103"/>
      <c r="B560" s="104"/>
      <c r="C560" s="103"/>
      <c r="D560" s="103"/>
      <c r="E560" s="103"/>
    </row>
    <row r="561" customHeight="1" spans="1:5">
      <c r="A561" s="103"/>
      <c r="B561" s="104"/>
      <c r="C561" s="103"/>
      <c r="D561" s="103"/>
      <c r="E561" s="103"/>
    </row>
    <row r="562" customHeight="1" spans="1:5">
      <c r="A562" s="103"/>
      <c r="B562" s="104"/>
      <c r="C562" s="103"/>
      <c r="D562" s="103"/>
      <c r="E562" s="103"/>
    </row>
    <row r="563" customHeight="1" spans="1:5">
      <c r="A563" s="103"/>
      <c r="B563" s="104"/>
      <c r="C563" s="103"/>
      <c r="D563" s="103"/>
      <c r="E563" s="103"/>
    </row>
    <row r="564" customHeight="1" spans="1:5">
      <c r="A564" s="103"/>
      <c r="B564" s="104"/>
      <c r="C564" s="103"/>
      <c r="D564" s="103"/>
      <c r="E564" s="103"/>
    </row>
    <row r="565" customHeight="1" spans="1:5">
      <c r="A565" s="103"/>
      <c r="B565" s="104"/>
      <c r="C565" s="103"/>
      <c r="D565" s="103"/>
      <c r="E565" s="103"/>
    </row>
    <row r="566" customHeight="1" spans="1:5">
      <c r="A566" s="103"/>
      <c r="B566" s="104"/>
      <c r="C566" s="103"/>
      <c r="D566" s="103"/>
      <c r="E566" s="103"/>
    </row>
    <row r="567" customHeight="1" spans="1:5">
      <c r="A567" s="103"/>
      <c r="B567" s="104"/>
      <c r="C567" s="103"/>
      <c r="D567" s="103"/>
      <c r="E567" s="103"/>
    </row>
    <row r="568" customHeight="1" spans="1:5">
      <c r="A568" s="103"/>
      <c r="B568" s="104"/>
      <c r="C568" s="103"/>
      <c r="D568" s="103"/>
      <c r="E568" s="103"/>
    </row>
    <row r="569" customHeight="1" spans="1:5">
      <c r="A569" s="103"/>
      <c r="B569" s="104"/>
      <c r="C569" s="103"/>
      <c r="D569" s="103"/>
      <c r="E569" s="103"/>
    </row>
    <row r="570" customHeight="1" spans="1:5">
      <c r="A570" s="103"/>
      <c r="B570" s="104"/>
      <c r="C570" s="103"/>
      <c r="D570" s="103"/>
      <c r="E570" s="103"/>
    </row>
    <row r="571" customHeight="1" spans="1:5">
      <c r="A571" s="103"/>
      <c r="B571" s="104"/>
      <c r="C571" s="103"/>
      <c r="D571" s="103"/>
      <c r="E571" s="103"/>
    </row>
    <row r="572" customHeight="1" spans="1:5">
      <c r="A572" s="103"/>
      <c r="B572" s="104"/>
      <c r="C572" s="103"/>
      <c r="D572" s="103"/>
      <c r="E572" s="103"/>
    </row>
    <row r="573" customHeight="1" spans="1:5">
      <c r="A573" s="103"/>
      <c r="B573" s="104"/>
      <c r="C573" s="103"/>
      <c r="D573" s="103"/>
      <c r="E573" s="103"/>
    </row>
    <row r="574" customHeight="1" spans="1:5">
      <c r="A574" s="103"/>
      <c r="B574" s="104"/>
      <c r="C574" s="103"/>
      <c r="D574" s="103"/>
      <c r="E574" s="103"/>
    </row>
    <row r="575" customHeight="1" spans="1:5">
      <c r="A575" s="103"/>
      <c r="B575" s="104"/>
      <c r="C575" s="103"/>
      <c r="D575" s="103"/>
      <c r="E575" s="103"/>
    </row>
    <row r="576" customHeight="1" spans="1:5">
      <c r="A576" s="103"/>
      <c r="B576" s="104"/>
      <c r="C576" s="103"/>
      <c r="D576" s="103"/>
      <c r="E576" s="103"/>
    </row>
    <row r="577" customHeight="1" spans="1:5">
      <c r="A577" s="103"/>
      <c r="B577" s="104"/>
      <c r="C577" s="103"/>
      <c r="D577" s="103"/>
      <c r="E577" s="103"/>
    </row>
    <row r="578" customHeight="1" spans="1:5">
      <c r="A578" s="103"/>
      <c r="B578" s="104"/>
      <c r="C578" s="103"/>
      <c r="D578" s="103"/>
      <c r="E578" s="103"/>
    </row>
    <row r="579" customHeight="1" spans="1:5">
      <c r="A579" s="103"/>
      <c r="B579" s="104"/>
      <c r="C579" s="103"/>
      <c r="D579" s="103"/>
      <c r="E579" s="103"/>
    </row>
    <row r="580" customHeight="1" spans="1:5">
      <c r="A580" s="103"/>
      <c r="B580" s="104"/>
      <c r="C580" s="103"/>
      <c r="D580" s="103"/>
      <c r="E580" s="103"/>
    </row>
    <row r="581" customHeight="1" spans="1:5">
      <c r="A581" s="103"/>
      <c r="B581" s="104"/>
      <c r="C581" s="103"/>
      <c r="D581" s="103"/>
      <c r="E581" s="103"/>
    </row>
    <row r="582" customHeight="1" spans="1:5">
      <c r="A582" s="103"/>
      <c r="B582" s="104"/>
      <c r="C582" s="103"/>
      <c r="D582" s="103"/>
      <c r="E582" s="103"/>
    </row>
    <row r="583" customHeight="1" spans="1:5">
      <c r="A583" s="103"/>
      <c r="B583" s="104"/>
      <c r="C583" s="103"/>
      <c r="D583" s="103"/>
      <c r="E583" s="103"/>
    </row>
    <row r="584" customHeight="1" spans="1:5">
      <c r="A584" s="103"/>
      <c r="B584" s="104"/>
      <c r="C584" s="103"/>
      <c r="D584" s="103"/>
      <c r="E584" s="103"/>
    </row>
    <row r="585" customHeight="1" spans="1:5">
      <c r="A585" s="103"/>
      <c r="B585" s="104"/>
      <c r="C585" s="103"/>
      <c r="D585" s="103"/>
      <c r="E585" s="103"/>
    </row>
    <row r="586" customHeight="1" spans="1:5">
      <c r="A586" s="103"/>
      <c r="B586" s="104"/>
      <c r="C586" s="103"/>
      <c r="D586" s="103"/>
      <c r="E586" s="103"/>
    </row>
    <row r="587" customHeight="1" spans="1:5">
      <c r="A587" s="103"/>
      <c r="B587" s="104"/>
      <c r="C587" s="103"/>
      <c r="D587" s="103"/>
      <c r="E587" s="103"/>
    </row>
    <row r="588" customHeight="1" spans="1:5">
      <c r="A588" s="103"/>
      <c r="B588" s="104"/>
      <c r="C588" s="103"/>
      <c r="D588" s="103"/>
      <c r="E588" s="103"/>
    </row>
    <row r="589" customHeight="1" spans="1:5">
      <c r="A589" s="103"/>
      <c r="B589" s="104"/>
      <c r="C589" s="103"/>
      <c r="D589" s="103"/>
      <c r="E589" s="103"/>
    </row>
    <row r="590" customHeight="1" spans="1:5">
      <c r="A590" s="103"/>
      <c r="B590" s="104"/>
      <c r="C590" s="103"/>
      <c r="D590" s="103"/>
      <c r="E590" s="103"/>
    </row>
    <row r="591" customHeight="1" spans="1:5">
      <c r="A591" s="103"/>
      <c r="B591" s="104"/>
      <c r="C591" s="103"/>
      <c r="D591" s="103"/>
      <c r="E591" s="103"/>
    </row>
    <row r="592" customHeight="1" spans="1:5">
      <c r="A592" s="103"/>
      <c r="B592" s="104"/>
      <c r="C592" s="103"/>
      <c r="D592" s="103"/>
      <c r="E592" s="103"/>
    </row>
    <row r="593" customHeight="1" spans="1:5">
      <c r="A593" s="103"/>
      <c r="B593" s="104"/>
      <c r="C593" s="103"/>
      <c r="D593" s="103"/>
      <c r="E593" s="103"/>
    </row>
    <row r="594" customHeight="1" spans="1:5">
      <c r="A594" s="103"/>
      <c r="B594" s="104"/>
      <c r="C594" s="103"/>
      <c r="D594" s="103"/>
      <c r="E594" s="103"/>
    </row>
    <row r="595" customHeight="1" spans="1:5">
      <c r="A595" s="103"/>
      <c r="B595" s="104"/>
      <c r="C595" s="103"/>
      <c r="D595" s="103"/>
      <c r="E595" s="103"/>
    </row>
    <row r="596" customHeight="1" spans="1:5">
      <c r="A596" s="103"/>
      <c r="B596" s="104"/>
      <c r="C596" s="103"/>
      <c r="D596" s="103"/>
      <c r="E596" s="103"/>
    </row>
    <row r="597" customHeight="1" spans="1:5">
      <c r="A597" s="103"/>
      <c r="B597" s="104"/>
      <c r="C597" s="103"/>
      <c r="D597" s="103"/>
      <c r="E597" s="103"/>
    </row>
    <row r="598" customHeight="1" spans="1:5">
      <c r="A598" s="103"/>
      <c r="B598" s="104"/>
      <c r="C598" s="103"/>
      <c r="D598" s="103"/>
      <c r="E598" s="103"/>
    </row>
    <row r="599" customHeight="1" spans="1:5">
      <c r="A599" s="103"/>
      <c r="B599" s="104"/>
      <c r="C599" s="103"/>
      <c r="D599" s="103"/>
      <c r="E599" s="103"/>
    </row>
    <row r="600" customHeight="1" spans="1:5">
      <c r="A600" s="103"/>
      <c r="B600" s="104"/>
      <c r="C600" s="103"/>
      <c r="D600" s="103"/>
      <c r="E600" s="103"/>
    </row>
    <row r="601" customHeight="1" spans="1:5">
      <c r="A601" s="103"/>
      <c r="B601" s="104"/>
      <c r="C601" s="103"/>
      <c r="D601" s="103"/>
      <c r="E601" s="103"/>
    </row>
    <row r="602" customHeight="1" spans="1:5">
      <c r="A602" s="103"/>
      <c r="B602" s="104"/>
      <c r="C602" s="103"/>
      <c r="D602" s="103"/>
      <c r="E602" s="103"/>
    </row>
    <row r="603" customHeight="1" spans="1:5">
      <c r="A603" s="103"/>
      <c r="B603" s="104"/>
      <c r="C603" s="103"/>
      <c r="D603" s="103"/>
      <c r="E603" s="103"/>
    </row>
    <row r="604" customHeight="1" spans="1:5">
      <c r="A604" s="103"/>
      <c r="B604" s="104"/>
      <c r="C604" s="103"/>
      <c r="D604" s="103"/>
      <c r="E604" s="103"/>
    </row>
    <row r="605" customHeight="1" spans="1:5">
      <c r="A605" s="103"/>
      <c r="B605" s="104"/>
      <c r="C605" s="103"/>
      <c r="D605" s="103"/>
      <c r="E605" s="103"/>
    </row>
    <row r="606" customHeight="1" spans="1:5">
      <c r="A606" s="103"/>
      <c r="B606" s="104"/>
      <c r="C606" s="103"/>
      <c r="D606" s="103"/>
      <c r="E606" s="103"/>
    </row>
    <row r="607" customHeight="1" spans="1:5">
      <c r="A607" s="103"/>
      <c r="B607" s="104"/>
      <c r="C607" s="103"/>
      <c r="D607" s="103"/>
      <c r="E607" s="103"/>
    </row>
    <row r="608" customHeight="1" spans="1:5">
      <c r="A608" s="103"/>
      <c r="B608" s="104"/>
      <c r="C608" s="103"/>
      <c r="D608" s="103"/>
      <c r="E608" s="103"/>
    </row>
    <row r="609" customHeight="1" spans="1:5">
      <c r="A609" s="103"/>
      <c r="B609" s="104"/>
      <c r="C609" s="103"/>
      <c r="D609" s="103"/>
      <c r="E609" s="103"/>
    </row>
    <row r="610" customHeight="1" spans="1:5">
      <c r="A610" s="103"/>
      <c r="B610" s="104"/>
      <c r="C610" s="103"/>
      <c r="D610" s="103"/>
      <c r="E610" s="103"/>
    </row>
    <row r="611" customHeight="1" spans="1:5">
      <c r="A611" s="103"/>
      <c r="B611" s="104"/>
      <c r="C611" s="103"/>
      <c r="D611" s="103"/>
      <c r="E611" s="103"/>
    </row>
    <row r="612" customHeight="1" spans="1:5">
      <c r="A612" s="103"/>
      <c r="B612" s="104"/>
      <c r="C612" s="103"/>
      <c r="D612" s="103"/>
      <c r="E612" s="103"/>
    </row>
    <row r="613" customHeight="1" spans="1:5">
      <c r="A613" s="103"/>
      <c r="B613" s="104"/>
      <c r="C613" s="103"/>
      <c r="D613" s="103"/>
      <c r="E613" s="103"/>
    </row>
    <row r="614" customHeight="1" spans="1:5">
      <c r="A614" s="103"/>
      <c r="B614" s="104"/>
      <c r="C614" s="103"/>
      <c r="D614" s="103"/>
      <c r="E614" s="103"/>
    </row>
    <row r="615" customHeight="1" spans="1:5">
      <c r="A615" s="103"/>
      <c r="B615" s="104"/>
      <c r="C615" s="103"/>
      <c r="D615" s="103"/>
      <c r="E615" s="103"/>
    </row>
    <row r="616" customHeight="1" spans="1:5">
      <c r="A616" s="103"/>
      <c r="B616" s="104"/>
      <c r="C616" s="103"/>
      <c r="D616" s="103"/>
      <c r="E616" s="103"/>
    </row>
    <row r="617" customHeight="1" spans="1:5">
      <c r="A617" s="103"/>
      <c r="B617" s="104"/>
      <c r="C617" s="103"/>
      <c r="D617" s="103"/>
      <c r="E617" s="103"/>
    </row>
    <row r="618" customHeight="1" spans="1:5">
      <c r="A618" s="103"/>
      <c r="B618" s="104"/>
      <c r="C618" s="103"/>
      <c r="D618" s="103"/>
      <c r="E618" s="103"/>
    </row>
    <row r="619" customHeight="1" spans="1:5">
      <c r="A619" s="103"/>
      <c r="B619" s="104"/>
      <c r="C619" s="103"/>
      <c r="D619" s="103"/>
      <c r="E619" s="103"/>
    </row>
    <row r="620" customHeight="1" spans="1:5">
      <c r="A620" s="103"/>
      <c r="B620" s="104"/>
      <c r="C620" s="103"/>
      <c r="D620" s="103"/>
      <c r="E620" s="103"/>
    </row>
    <row r="621" customHeight="1" spans="1:5">
      <c r="A621" s="103"/>
      <c r="B621" s="104"/>
      <c r="C621" s="103"/>
      <c r="D621" s="103"/>
      <c r="E621" s="103"/>
    </row>
    <row r="622" customHeight="1" spans="1:5">
      <c r="A622" s="103"/>
      <c r="B622" s="104"/>
      <c r="C622" s="103"/>
      <c r="D622" s="103"/>
      <c r="E622" s="103"/>
    </row>
    <row r="623" customHeight="1" spans="1:5">
      <c r="A623" s="103"/>
      <c r="B623" s="104"/>
      <c r="C623" s="103"/>
      <c r="D623" s="103"/>
      <c r="E623" s="103"/>
    </row>
    <row r="624" customHeight="1" spans="1:5">
      <c r="A624" s="103"/>
      <c r="B624" s="104"/>
      <c r="C624" s="103"/>
      <c r="D624" s="103"/>
      <c r="E624" s="103"/>
    </row>
    <row r="625" customHeight="1" spans="1:5">
      <c r="A625" s="103"/>
      <c r="B625" s="104"/>
      <c r="C625" s="103"/>
      <c r="D625" s="103"/>
      <c r="E625" s="103"/>
    </row>
    <row r="626" customHeight="1" spans="1:5">
      <c r="A626" s="103"/>
      <c r="B626" s="104"/>
      <c r="C626" s="103"/>
      <c r="D626" s="103"/>
      <c r="E626" s="103"/>
    </row>
    <row r="627" customHeight="1" spans="1:5">
      <c r="A627" s="103"/>
      <c r="B627" s="104"/>
      <c r="C627" s="103"/>
      <c r="D627" s="103"/>
      <c r="E627" s="103"/>
    </row>
    <row r="628" customHeight="1" spans="1:5">
      <c r="A628" s="103"/>
      <c r="B628" s="104"/>
      <c r="C628" s="103"/>
      <c r="D628" s="103"/>
      <c r="E628" s="103"/>
    </row>
    <row r="629" customHeight="1" spans="1:5">
      <c r="A629" s="103"/>
      <c r="B629" s="104"/>
      <c r="C629" s="103"/>
      <c r="D629" s="103"/>
      <c r="E629" s="103"/>
    </row>
    <row r="630" customHeight="1" spans="1:5">
      <c r="A630" s="103"/>
      <c r="B630" s="104"/>
      <c r="C630" s="103"/>
      <c r="D630" s="103"/>
      <c r="E630" s="103"/>
    </row>
    <row r="631" customHeight="1" spans="1:5">
      <c r="A631" s="103"/>
      <c r="B631" s="104"/>
      <c r="C631" s="103"/>
      <c r="D631" s="103"/>
      <c r="E631" s="103"/>
    </row>
    <row r="632" customHeight="1" spans="1:5">
      <c r="A632" s="103"/>
      <c r="B632" s="104"/>
      <c r="C632" s="103"/>
      <c r="D632" s="103"/>
      <c r="E632" s="103"/>
    </row>
    <row r="633" customHeight="1" spans="1:5">
      <c r="A633" s="103"/>
      <c r="B633" s="104"/>
      <c r="C633" s="103"/>
      <c r="D633" s="103"/>
      <c r="E633" s="103"/>
    </row>
    <row r="634" customHeight="1" spans="1:5">
      <c r="A634" s="103"/>
      <c r="B634" s="104"/>
      <c r="C634" s="103"/>
      <c r="D634" s="103"/>
      <c r="E634" s="103"/>
    </row>
    <row r="635" customHeight="1" spans="1:5">
      <c r="A635" s="103"/>
      <c r="B635" s="104"/>
      <c r="C635" s="103"/>
      <c r="D635" s="103"/>
      <c r="E635" s="103"/>
    </row>
    <row r="636" customHeight="1" spans="1:5">
      <c r="A636" s="103"/>
      <c r="B636" s="104"/>
      <c r="C636" s="103"/>
      <c r="D636" s="103"/>
      <c r="E636" s="103"/>
    </row>
    <row r="637" customHeight="1" spans="1:5">
      <c r="A637" s="103"/>
      <c r="B637" s="104"/>
      <c r="C637" s="103"/>
      <c r="D637" s="103"/>
      <c r="E637" s="103"/>
    </row>
    <row r="638" customHeight="1" spans="1:5">
      <c r="A638" s="103"/>
      <c r="B638" s="104"/>
      <c r="C638" s="103"/>
      <c r="D638" s="103"/>
      <c r="E638" s="103"/>
    </row>
    <row r="639" customHeight="1" spans="1:5">
      <c r="A639" s="103"/>
      <c r="B639" s="104"/>
      <c r="C639" s="103"/>
      <c r="D639" s="103"/>
      <c r="E639" s="103"/>
    </row>
    <row r="640" customHeight="1" spans="1:5">
      <c r="A640" s="103"/>
      <c r="B640" s="104"/>
      <c r="C640" s="103"/>
      <c r="D640" s="103"/>
      <c r="E640" s="103"/>
    </row>
    <row r="641" customHeight="1" spans="1:5">
      <c r="A641" s="103"/>
      <c r="B641" s="104"/>
      <c r="C641" s="103"/>
      <c r="D641" s="103"/>
      <c r="E641" s="103"/>
    </row>
    <row r="642" customHeight="1" spans="1:5">
      <c r="A642" s="103"/>
      <c r="B642" s="104"/>
      <c r="C642" s="103"/>
      <c r="D642" s="103"/>
      <c r="E642" s="103"/>
    </row>
    <row r="643" customHeight="1" spans="1:5">
      <c r="A643" s="103"/>
      <c r="B643" s="104"/>
      <c r="C643" s="103"/>
      <c r="D643" s="103"/>
      <c r="E643" s="103"/>
    </row>
    <row r="644" customHeight="1" spans="1:5">
      <c r="A644" s="103"/>
      <c r="B644" s="104"/>
      <c r="C644" s="103"/>
      <c r="D644" s="103"/>
      <c r="E644" s="103"/>
    </row>
    <row r="645" customHeight="1" spans="1:5">
      <c r="A645" s="103"/>
      <c r="B645" s="104"/>
      <c r="C645" s="103"/>
      <c r="D645" s="103"/>
      <c r="E645" s="103"/>
    </row>
    <row r="646" customHeight="1" spans="1:5">
      <c r="A646" s="103"/>
      <c r="B646" s="104"/>
      <c r="C646" s="103"/>
      <c r="D646" s="103"/>
      <c r="E646" s="103"/>
    </row>
    <row r="647" customHeight="1" spans="1:5">
      <c r="A647" s="103"/>
      <c r="B647" s="104"/>
      <c r="C647" s="103"/>
      <c r="D647" s="103"/>
      <c r="E647" s="103"/>
    </row>
    <row r="648" customHeight="1" spans="1:5">
      <c r="A648" s="103"/>
      <c r="B648" s="104"/>
      <c r="C648" s="103"/>
      <c r="D648" s="103"/>
      <c r="E648" s="103"/>
    </row>
    <row r="649" customHeight="1" spans="1:5">
      <c r="A649" s="103"/>
      <c r="B649" s="104"/>
      <c r="C649" s="103"/>
      <c r="D649" s="103"/>
      <c r="E649" s="103"/>
    </row>
    <row r="650" customHeight="1" spans="1:5">
      <c r="A650" s="103"/>
      <c r="B650" s="104"/>
      <c r="C650" s="103"/>
      <c r="D650" s="103"/>
      <c r="E650" s="103"/>
    </row>
    <row r="651" customHeight="1" spans="1:5">
      <c r="A651" s="103"/>
      <c r="B651" s="104"/>
      <c r="C651" s="103"/>
      <c r="D651" s="103"/>
      <c r="E651" s="103"/>
    </row>
    <row r="652" customHeight="1" spans="1:5">
      <c r="A652" s="103"/>
      <c r="B652" s="104"/>
      <c r="C652" s="103"/>
      <c r="D652" s="103"/>
      <c r="E652" s="103"/>
    </row>
    <row r="653" customHeight="1" spans="1:5">
      <c r="A653" s="103"/>
      <c r="B653" s="104"/>
      <c r="C653" s="103"/>
      <c r="D653" s="103"/>
      <c r="E653" s="103"/>
    </row>
    <row r="654" customHeight="1" spans="1:5">
      <c r="A654" s="103"/>
      <c r="B654" s="104"/>
      <c r="C654" s="103"/>
      <c r="D654" s="103"/>
      <c r="E654" s="103"/>
    </row>
    <row r="655" customHeight="1" spans="1:5">
      <c r="A655" s="103"/>
      <c r="B655" s="104"/>
      <c r="C655" s="103"/>
      <c r="D655" s="103"/>
      <c r="E655" s="103"/>
    </row>
    <row r="656" customHeight="1" spans="1:5">
      <c r="A656" s="103"/>
      <c r="B656" s="104"/>
      <c r="C656" s="103"/>
      <c r="D656" s="103"/>
      <c r="E656" s="103"/>
    </row>
    <row r="657" customHeight="1" spans="1:5">
      <c r="A657" s="103"/>
      <c r="B657" s="104"/>
      <c r="C657" s="103"/>
      <c r="D657" s="103"/>
      <c r="E657" s="103"/>
    </row>
    <row r="658" customHeight="1" spans="1:5">
      <c r="A658" s="103"/>
      <c r="B658" s="104"/>
      <c r="C658" s="103"/>
      <c r="D658" s="103"/>
      <c r="E658" s="103"/>
    </row>
    <row r="659" customHeight="1" spans="1:5">
      <c r="A659" s="103"/>
      <c r="B659" s="104"/>
      <c r="C659" s="103"/>
      <c r="D659" s="103"/>
      <c r="E659" s="103"/>
    </row>
    <row r="660" customHeight="1" spans="1:5">
      <c r="A660" s="103"/>
      <c r="B660" s="104"/>
      <c r="C660" s="103"/>
      <c r="D660" s="103"/>
      <c r="E660" s="103"/>
    </row>
    <row r="661" customHeight="1" spans="1:5">
      <c r="A661" s="103"/>
      <c r="B661" s="104"/>
      <c r="C661" s="103"/>
      <c r="D661" s="103"/>
      <c r="E661" s="103"/>
    </row>
    <row r="662" customHeight="1" spans="1:5">
      <c r="A662" s="103"/>
      <c r="B662" s="104"/>
      <c r="C662" s="103"/>
      <c r="D662" s="103"/>
      <c r="E662" s="103"/>
    </row>
    <row r="663" customHeight="1" spans="1:5">
      <c r="A663" s="103"/>
      <c r="B663" s="104"/>
      <c r="C663" s="103"/>
      <c r="D663" s="103"/>
      <c r="E663" s="103"/>
    </row>
    <row r="664" customHeight="1" spans="1:5">
      <c r="A664" s="103"/>
      <c r="B664" s="104"/>
      <c r="C664" s="103"/>
      <c r="D664" s="103"/>
      <c r="E664" s="103"/>
    </row>
    <row r="665" customHeight="1" spans="1:5">
      <c r="A665" s="103"/>
      <c r="B665" s="104"/>
      <c r="C665" s="103"/>
      <c r="D665" s="103"/>
      <c r="E665" s="103"/>
    </row>
    <row r="666" customHeight="1" spans="1:5">
      <c r="A666" s="103"/>
      <c r="B666" s="104"/>
      <c r="C666" s="103"/>
      <c r="D666" s="103"/>
      <c r="E666" s="103"/>
    </row>
    <row r="667" customHeight="1" spans="1:5">
      <c r="A667" s="103"/>
      <c r="B667" s="104"/>
      <c r="C667" s="103"/>
      <c r="D667" s="103"/>
      <c r="E667" s="103"/>
    </row>
    <row r="668" customHeight="1" spans="1:5">
      <c r="A668" s="103"/>
      <c r="B668" s="104"/>
      <c r="C668" s="103"/>
      <c r="D668" s="103"/>
      <c r="E668" s="103"/>
    </row>
    <row r="669" customHeight="1" spans="1:5">
      <c r="A669" s="103"/>
      <c r="B669" s="104"/>
      <c r="C669" s="103"/>
      <c r="D669" s="103"/>
      <c r="E669" s="103"/>
    </row>
    <row r="670" customHeight="1" spans="1:5">
      <c r="A670" s="103"/>
      <c r="B670" s="104"/>
      <c r="C670" s="103"/>
      <c r="D670" s="103"/>
      <c r="E670" s="103"/>
    </row>
    <row r="671" customHeight="1" spans="1:5">
      <c r="A671" s="103"/>
      <c r="B671" s="104"/>
      <c r="C671" s="103"/>
      <c r="D671" s="103"/>
      <c r="E671" s="103"/>
    </row>
    <row r="672" customHeight="1" spans="1:5">
      <c r="A672" s="103"/>
      <c r="B672" s="104"/>
      <c r="C672" s="103"/>
      <c r="D672" s="103"/>
      <c r="E672" s="103"/>
    </row>
    <row r="673" customHeight="1" spans="1:5">
      <c r="A673" s="103"/>
      <c r="B673" s="104"/>
      <c r="C673" s="103"/>
      <c r="D673" s="103"/>
      <c r="E673" s="103"/>
    </row>
    <row r="674" customHeight="1" spans="1:5">
      <c r="A674" s="103"/>
      <c r="B674" s="104"/>
      <c r="C674" s="103"/>
      <c r="D674" s="103"/>
      <c r="E674" s="103"/>
    </row>
    <row r="675" customHeight="1" spans="1:5">
      <c r="A675" s="103"/>
      <c r="B675" s="104"/>
      <c r="C675" s="103"/>
      <c r="D675" s="103"/>
      <c r="E675" s="103"/>
    </row>
    <row r="676" customHeight="1" spans="1:5">
      <c r="A676" s="103"/>
      <c r="B676" s="104"/>
      <c r="C676" s="103"/>
      <c r="D676" s="103"/>
      <c r="E676" s="103"/>
    </row>
    <row r="677" customHeight="1" spans="1:5">
      <c r="A677" s="103"/>
      <c r="B677" s="104"/>
      <c r="C677" s="103"/>
      <c r="D677" s="103"/>
      <c r="E677" s="103"/>
    </row>
    <row r="678" customHeight="1" spans="1:5">
      <c r="A678" s="103"/>
      <c r="B678" s="104"/>
      <c r="C678" s="103"/>
      <c r="D678" s="103"/>
      <c r="E678" s="103"/>
    </row>
    <row r="679" customHeight="1" spans="1:5">
      <c r="A679" s="103"/>
      <c r="B679" s="104"/>
      <c r="C679" s="103"/>
      <c r="D679" s="103"/>
      <c r="E679" s="103"/>
    </row>
    <row r="680" customHeight="1" spans="1:5">
      <c r="A680" s="103"/>
      <c r="B680" s="104"/>
      <c r="C680" s="103"/>
      <c r="D680" s="103"/>
      <c r="E680" s="103"/>
    </row>
    <row r="681" customHeight="1" spans="1:5">
      <c r="A681" s="103"/>
      <c r="B681" s="104"/>
      <c r="C681" s="103"/>
      <c r="D681" s="103"/>
      <c r="E681" s="103"/>
    </row>
    <row r="682" customHeight="1" spans="1:5">
      <c r="A682" s="103"/>
      <c r="B682" s="104"/>
      <c r="C682" s="103"/>
      <c r="D682" s="103"/>
      <c r="E682" s="103"/>
    </row>
    <row r="683" customHeight="1" spans="1:5">
      <c r="A683" s="103"/>
      <c r="B683" s="104"/>
      <c r="C683" s="103"/>
      <c r="D683" s="103"/>
      <c r="E683" s="103"/>
    </row>
    <row r="684" customHeight="1" spans="1:5">
      <c r="A684" s="103"/>
      <c r="B684" s="104"/>
      <c r="C684" s="103"/>
      <c r="D684" s="103"/>
      <c r="E684" s="103"/>
    </row>
    <row r="685" customHeight="1" spans="1:5">
      <c r="A685" s="103"/>
      <c r="B685" s="104"/>
      <c r="C685" s="103"/>
      <c r="D685" s="103"/>
      <c r="E685" s="103"/>
    </row>
    <row r="686" customHeight="1" spans="1:5">
      <c r="A686" s="103"/>
      <c r="B686" s="104"/>
      <c r="C686" s="103"/>
      <c r="D686" s="103"/>
      <c r="E686" s="103"/>
    </row>
    <row r="687" customHeight="1" spans="1:5">
      <c r="A687" s="103"/>
      <c r="B687" s="104"/>
      <c r="C687" s="103"/>
      <c r="D687" s="103"/>
      <c r="E687" s="103"/>
    </row>
    <row r="688" customHeight="1" spans="1:5">
      <c r="A688" s="103"/>
      <c r="B688" s="104"/>
      <c r="C688" s="103"/>
      <c r="D688" s="103"/>
      <c r="E688" s="103"/>
    </row>
    <row r="689" customHeight="1" spans="1:5">
      <c r="A689" s="103"/>
      <c r="B689" s="104"/>
      <c r="C689" s="103"/>
      <c r="D689" s="103"/>
      <c r="E689" s="103"/>
    </row>
    <row r="690" customHeight="1" spans="1:5">
      <c r="A690" s="103"/>
      <c r="B690" s="104"/>
      <c r="C690" s="103"/>
      <c r="D690" s="103"/>
      <c r="E690" s="103"/>
    </row>
    <row r="691" customHeight="1" spans="1:5">
      <c r="A691" s="103"/>
      <c r="B691" s="104"/>
      <c r="C691" s="103"/>
      <c r="D691" s="103"/>
      <c r="E691" s="103"/>
    </row>
    <row r="692" customHeight="1" spans="1:5">
      <c r="A692" s="103"/>
      <c r="B692" s="104"/>
      <c r="C692" s="103"/>
      <c r="D692" s="103"/>
      <c r="E692" s="103"/>
    </row>
    <row r="693" customHeight="1" spans="1:5">
      <c r="A693" s="103"/>
      <c r="B693" s="104"/>
      <c r="C693" s="103"/>
      <c r="D693" s="103"/>
      <c r="E693" s="103"/>
    </row>
    <row r="694" customHeight="1" spans="1:5">
      <c r="A694" s="103"/>
      <c r="B694" s="104"/>
      <c r="C694" s="103"/>
      <c r="D694" s="103"/>
      <c r="E694" s="103"/>
    </row>
    <row r="695" customHeight="1" spans="1:5">
      <c r="A695" s="103"/>
      <c r="B695" s="104"/>
      <c r="C695" s="103"/>
      <c r="D695" s="103"/>
      <c r="E695" s="103"/>
    </row>
    <row r="696" customHeight="1" spans="1:5">
      <c r="A696" s="103"/>
      <c r="B696" s="104"/>
      <c r="C696" s="103"/>
      <c r="D696" s="103"/>
      <c r="E696" s="103"/>
    </row>
    <row r="697" customHeight="1" spans="1:5">
      <c r="A697" s="103"/>
      <c r="B697" s="104"/>
      <c r="C697" s="103"/>
      <c r="D697" s="103"/>
      <c r="E697" s="103"/>
    </row>
    <row r="698" customHeight="1" spans="1:5">
      <c r="A698" s="103"/>
      <c r="B698" s="104"/>
      <c r="C698" s="103"/>
      <c r="D698" s="103"/>
      <c r="E698" s="103"/>
    </row>
    <row r="699" customHeight="1" spans="1:5">
      <c r="A699" s="103"/>
      <c r="B699" s="104"/>
      <c r="C699" s="103"/>
      <c r="D699" s="103"/>
      <c r="E699" s="103"/>
    </row>
    <row r="700" customHeight="1" spans="1:5">
      <c r="A700" s="103"/>
      <c r="B700" s="104"/>
      <c r="C700" s="103"/>
      <c r="D700" s="103"/>
      <c r="E700" s="103"/>
    </row>
    <row r="701" customHeight="1" spans="1:5">
      <c r="A701" s="103"/>
      <c r="B701" s="104"/>
      <c r="C701" s="103"/>
      <c r="D701" s="103"/>
      <c r="E701" s="103"/>
    </row>
    <row r="702" customHeight="1" spans="1:5">
      <c r="A702" s="103"/>
      <c r="B702" s="104"/>
      <c r="C702" s="103"/>
      <c r="D702" s="103"/>
      <c r="E702" s="103"/>
    </row>
    <row r="703" customHeight="1" spans="1:5">
      <c r="A703" s="103"/>
      <c r="B703" s="104"/>
      <c r="C703" s="103"/>
      <c r="D703" s="103"/>
      <c r="E703" s="103"/>
    </row>
    <row r="704" customHeight="1" spans="1:5">
      <c r="A704" s="103"/>
      <c r="B704" s="104"/>
      <c r="C704" s="103"/>
      <c r="D704" s="103"/>
      <c r="E704" s="103"/>
    </row>
    <row r="705" customHeight="1" spans="1:5">
      <c r="A705" s="103"/>
      <c r="B705" s="104"/>
      <c r="C705" s="103"/>
      <c r="D705" s="103"/>
      <c r="E705" s="103"/>
    </row>
    <row r="706" customHeight="1" spans="1:5">
      <c r="A706" s="103"/>
      <c r="B706" s="104"/>
      <c r="C706" s="103"/>
      <c r="D706" s="103"/>
      <c r="E706" s="103"/>
    </row>
    <row r="707" customHeight="1" spans="1:5">
      <c r="A707" s="103"/>
      <c r="B707" s="104"/>
      <c r="C707" s="103"/>
      <c r="D707" s="103"/>
      <c r="E707" s="103"/>
    </row>
    <row r="708" customHeight="1" spans="1:5">
      <c r="A708" s="103"/>
      <c r="B708" s="104"/>
      <c r="C708" s="103"/>
      <c r="D708" s="103"/>
      <c r="E708" s="103"/>
    </row>
    <row r="709" customHeight="1" spans="1:5">
      <c r="A709" s="103"/>
      <c r="B709" s="104"/>
      <c r="C709" s="103"/>
      <c r="D709" s="103"/>
      <c r="E709" s="103"/>
    </row>
    <row r="710" customHeight="1" spans="1:5">
      <c r="A710" s="103"/>
      <c r="B710" s="104"/>
      <c r="C710" s="103"/>
      <c r="D710" s="103"/>
      <c r="E710" s="103"/>
    </row>
    <row r="711" customHeight="1" spans="1:5">
      <c r="A711" s="103"/>
      <c r="B711" s="104"/>
      <c r="C711" s="103"/>
      <c r="D711" s="103"/>
      <c r="E711" s="103"/>
    </row>
    <row r="712" customHeight="1" spans="1:5">
      <c r="A712" s="103"/>
      <c r="B712" s="104"/>
      <c r="C712" s="103"/>
      <c r="D712" s="103"/>
      <c r="E712" s="103"/>
    </row>
    <row r="713" customHeight="1" spans="1:5">
      <c r="A713" s="103"/>
      <c r="B713" s="104"/>
      <c r="C713" s="103"/>
      <c r="D713" s="103"/>
      <c r="E713" s="103"/>
    </row>
    <row r="714" customHeight="1" spans="1:5">
      <c r="A714" s="103"/>
      <c r="B714" s="104"/>
      <c r="C714" s="103"/>
      <c r="D714" s="103"/>
      <c r="E714" s="103"/>
    </row>
    <row r="715" customHeight="1" spans="1:5">
      <c r="A715" s="103"/>
      <c r="B715" s="104"/>
      <c r="C715" s="103"/>
      <c r="D715" s="103"/>
      <c r="E715" s="103"/>
    </row>
    <row r="716" customHeight="1" spans="1:5">
      <c r="A716" s="103"/>
      <c r="B716" s="104"/>
      <c r="C716" s="103"/>
      <c r="D716" s="103"/>
      <c r="E716" s="103"/>
    </row>
    <row r="717" customHeight="1" spans="1:5">
      <c r="A717" s="103"/>
      <c r="B717" s="104"/>
      <c r="C717" s="103"/>
      <c r="D717" s="103"/>
      <c r="E717" s="103"/>
    </row>
    <row r="718" customHeight="1" spans="1:5">
      <c r="A718" s="103"/>
      <c r="B718" s="104"/>
      <c r="C718" s="103"/>
      <c r="D718" s="103"/>
      <c r="E718" s="103"/>
    </row>
    <row r="719" customHeight="1" spans="1:5">
      <c r="A719" s="103"/>
      <c r="B719" s="104"/>
      <c r="C719" s="103"/>
      <c r="D719" s="103"/>
      <c r="E719" s="103"/>
    </row>
    <row r="720" customHeight="1" spans="1:5">
      <c r="A720" s="103"/>
      <c r="B720" s="104"/>
      <c r="C720" s="103"/>
      <c r="D720" s="103"/>
      <c r="E720" s="103"/>
    </row>
    <row r="721" customHeight="1" spans="1:5">
      <c r="A721" s="103"/>
      <c r="B721" s="104"/>
      <c r="C721" s="103"/>
      <c r="D721" s="103"/>
      <c r="E721" s="103"/>
    </row>
    <row r="722" customHeight="1" spans="1:5">
      <c r="A722" s="103"/>
      <c r="B722" s="104"/>
      <c r="C722" s="103"/>
      <c r="D722" s="103"/>
      <c r="E722" s="103"/>
    </row>
    <row r="723" customHeight="1" spans="1:5">
      <c r="A723" s="103"/>
      <c r="B723" s="104"/>
      <c r="C723" s="103"/>
      <c r="D723" s="103"/>
      <c r="E723" s="103"/>
    </row>
    <row r="724" customHeight="1" spans="1:5">
      <c r="A724" s="103"/>
      <c r="B724" s="104"/>
      <c r="C724" s="103"/>
      <c r="D724" s="103"/>
      <c r="E724" s="103"/>
    </row>
    <row r="725" customHeight="1" spans="1:5">
      <c r="A725" s="103"/>
      <c r="B725" s="104"/>
      <c r="C725" s="103"/>
      <c r="D725" s="103"/>
      <c r="E725" s="103"/>
    </row>
    <row r="726" customHeight="1" spans="1:5">
      <c r="A726" s="103"/>
      <c r="B726" s="104"/>
      <c r="C726" s="103"/>
      <c r="D726" s="103"/>
      <c r="E726" s="103"/>
    </row>
    <row r="727" customHeight="1" spans="1:5">
      <c r="A727" s="103"/>
      <c r="B727" s="104"/>
      <c r="C727" s="103"/>
      <c r="D727" s="103"/>
      <c r="E727" s="103"/>
    </row>
    <row r="728" customHeight="1" spans="1:5">
      <c r="A728" s="103"/>
      <c r="B728" s="104"/>
      <c r="C728" s="103"/>
      <c r="D728" s="103"/>
      <c r="E728" s="103"/>
    </row>
    <row r="729" customHeight="1" spans="1:5">
      <c r="A729" s="103"/>
      <c r="B729" s="104"/>
      <c r="C729" s="103"/>
      <c r="D729" s="103"/>
      <c r="E729" s="103"/>
    </row>
    <row r="730" customHeight="1" spans="1:5">
      <c r="A730" s="103"/>
      <c r="B730" s="104"/>
      <c r="C730" s="103"/>
      <c r="D730" s="103"/>
      <c r="E730" s="103"/>
    </row>
    <row r="731" customHeight="1" spans="1:5">
      <c r="A731" s="103"/>
      <c r="B731" s="104"/>
      <c r="C731" s="103"/>
      <c r="D731" s="103"/>
      <c r="E731" s="103"/>
    </row>
    <row r="732" customHeight="1" spans="1:5">
      <c r="A732" s="103"/>
      <c r="B732" s="104"/>
      <c r="C732" s="103"/>
      <c r="D732" s="103"/>
      <c r="E732" s="103"/>
    </row>
    <row r="733" customHeight="1" spans="1:5">
      <c r="A733" s="103"/>
      <c r="B733" s="104"/>
      <c r="C733" s="103"/>
      <c r="D733" s="103"/>
      <c r="E733" s="103"/>
    </row>
    <row r="734" customHeight="1" spans="1:5">
      <c r="A734" s="103"/>
      <c r="B734" s="104"/>
      <c r="C734" s="103"/>
      <c r="D734" s="103"/>
      <c r="E734" s="103"/>
    </row>
    <row r="735" customHeight="1" spans="1:5">
      <c r="A735" s="103"/>
      <c r="B735" s="104"/>
      <c r="C735" s="103"/>
      <c r="D735" s="103"/>
      <c r="E735" s="103"/>
    </row>
    <row r="736" customHeight="1" spans="1:5">
      <c r="A736" s="103"/>
      <c r="B736" s="104"/>
      <c r="C736" s="103"/>
      <c r="D736" s="103"/>
      <c r="E736" s="103"/>
    </row>
    <row r="737" customHeight="1" spans="1:5">
      <c r="A737" s="103"/>
      <c r="B737" s="104"/>
      <c r="C737" s="103"/>
      <c r="D737" s="103"/>
      <c r="E737" s="103"/>
    </row>
    <row r="738" customHeight="1" spans="1:5">
      <c r="A738" s="103"/>
      <c r="B738" s="104"/>
      <c r="C738" s="103"/>
      <c r="D738" s="103"/>
      <c r="E738" s="103"/>
    </row>
    <row r="739" customHeight="1" spans="1:5">
      <c r="A739" s="103"/>
      <c r="B739" s="104"/>
      <c r="C739" s="103"/>
      <c r="D739" s="103"/>
      <c r="E739" s="103"/>
    </row>
    <row r="740" customHeight="1" spans="1:5">
      <c r="A740" s="103"/>
      <c r="B740" s="104"/>
      <c r="C740" s="103"/>
      <c r="D740" s="103"/>
      <c r="E740" s="103"/>
    </row>
    <row r="741" customHeight="1" spans="1:5">
      <c r="A741" s="103"/>
      <c r="B741" s="104"/>
      <c r="C741" s="103"/>
      <c r="D741" s="103"/>
      <c r="E741" s="103"/>
    </row>
    <row r="742" customHeight="1" spans="1:5">
      <c r="A742" s="103"/>
      <c r="B742" s="104"/>
      <c r="C742" s="103"/>
      <c r="D742" s="103"/>
      <c r="E742" s="103"/>
    </row>
    <row r="743" customHeight="1" spans="1:5">
      <c r="A743" s="103"/>
      <c r="B743" s="104"/>
      <c r="C743" s="103"/>
      <c r="D743" s="103"/>
      <c r="E743" s="103"/>
    </row>
    <row r="744" customHeight="1" spans="1:5">
      <c r="A744" s="103"/>
      <c r="B744" s="104"/>
      <c r="C744" s="103"/>
      <c r="D744" s="103"/>
      <c r="E744" s="103"/>
    </row>
    <row r="745" customHeight="1" spans="1:5">
      <c r="A745" s="103"/>
      <c r="B745" s="104"/>
      <c r="C745" s="103"/>
      <c r="D745" s="103"/>
      <c r="E745" s="103"/>
    </row>
    <row r="746" customHeight="1" spans="1:5">
      <c r="A746" s="103"/>
      <c r="B746" s="104"/>
      <c r="C746" s="103"/>
      <c r="D746" s="103"/>
      <c r="E746" s="103"/>
    </row>
    <row r="747" customHeight="1" spans="1:5">
      <c r="A747" s="103"/>
      <c r="B747" s="104"/>
      <c r="C747" s="103"/>
      <c r="D747" s="103"/>
      <c r="E747" s="103"/>
    </row>
    <row r="748" customHeight="1" spans="1:5">
      <c r="A748" s="103"/>
      <c r="B748" s="104"/>
      <c r="C748" s="103"/>
      <c r="D748" s="103"/>
      <c r="E748" s="103"/>
    </row>
    <row r="749" customHeight="1" spans="1:5">
      <c r="A749" s="103"/>
      <c r="B749" s="104"/>
      <c r="C749" s="103"/>
      <c r="D749" s="103"/>
      <c r="E749" s="103"/>
    </row>
    <row r="750" customHeight="1" spans="1:5">
      <c r="A750" s="103"/>
      <c r="B750" s="104"/>
      <c r="C750" s="103"/>
      <c r="D750" s="103"/>
      <c r="E750" s="103"/>
    </row>
    <row r="751" customHeight="1" spans="1:5">
      <c r="A751" s="103"/>
      <c r="B751" s="104"/>
      <c r="C751" s="103"/>
      <c r="D751" s="103"/>
      <c r="E751" s="103"/>
    </row>
    <row r="752" customHeight="1" spans="1:5">
      <c r="A752" s="103"/>
      <c r="B752" s="104"/>
      <c r="C752" s="103"/>
      <c r="D752" s="103"/>
      <c r="E752" s="103"/>
    </row>
    <row r="753" customHeight="1" spans="1:5">
      <c r="A753" s="103"/>
      <c r="B753" s="104"/>
      <c r="C753" s="103"/>
      <c r="D753" s="103"/>
      <c r="E753" s="103"/>
    </row>
    <row r="754" customHeight="1" spans="1:5">
      <c r="A754" s="103"/>
      <c r="B754" s="104"/>
      <c r="C754" s="103"/>
      <c r="D754" s="103"/>
      <c r="E754" s="103"/>
    </row>
    <row r="755" customHeight="1" spans="1:5">
      <c r="A755" s="103"/>
      <c r="B755" s="104"/>
      <c r="C755" s="103"/>
      <c r="D755" s="103"/>
      <c r="E755" s="103"/>
    </row>
    <row r="756" customHeight="1" spans="1:5">
      <c r="A756" s="103"/>
      <c r="B756" s="104"/>
      <c r="C756" s="103"/>
      <c r="D756" s="103"/>
      <c r="E756" s="103"/>
    </row>
    <row r="757" customHeight="1" spans="1:5">
      <c r="A757" s="103"/>
      <c r="B757" s="104"/>
      <c r="C757" s="103"/>
      <c r="D757" s="103"/>
      <c r="E757" s="103"/>
    </row>
    <row r="758" customHeight="1" spans="1:5">
      <c r="A758" s="103"/>
      <c r="B758" s="104"/>
      <c r="C758" s="103"/>
      <c r="D758" s="103"/>
      <c r="E758" s="103"/>
    </row>
    <row r="759" customHeight="1" spans="1:5">
      <c r="A759" s="103"/>
      <c r="B759" s="104"/>
      <c r="C759" s="103"/>
      <c r="D759" s="103"/>
      <c r="E759" s="103"/>
    </row>
    <row r="760" customHeight="1" spans="1:5">
      <c r="A760" s="103"/>
      <c r="B760" s="104"/>
      <c r="C760" s="103"/>
      <c r="D760" s="103"/>
      <c r="E760" s="103"/>
    </row>
    <row r="761" customHeight="1" spans="1:5">
      <c r="A761" s="103"/>
      <c r="B761" s="104"/>
      <c r="C761" s="103"/>
      <c r="D761" s="103"/>
      <c r="E761" s="103"/>
    </row>
    <row r="762" customHeight="1" spans="1:5">
      <c r="A762" s="103"/>
      <c r="B762" s="104"/>
      <c r="C762" s="103"/>
      <c r="D762" s="103"/>
      <c r="E762" s="103"/>
    </row>
    <row r="763" customHeight="1" spans="1:5">
      <c r="A763" s="103"/>
      <c r="B763" s="104"/>
      <c r="C763" s="103"/>
      <c r="D763" s="103"/>
      <c r="E763" s="103"/>
    </row>
    <row r="764" customHeight="1" spans="1:5">
      <c r="A764" s="103"/>
      <c r="B764" s="104"/>
      <c r="C764" s="103"/>
      <c r="D764" s="103"/>
      <c r="E764" s="103"/>
    </row>
    <row r="765" customHeight="1" spans="1:5">
      <c r="A765" s="103"/>
      <c r="B765" s="104"/>
      <c r="C765" s="103"/>
      <c r="D765" s="103"/>
      <c r="E765" s="103"/>
    </row>
    <row r="766" customHeight="1" spans="1:5">
      <c r="A766" s="103"/>
      <c r="B766" s="104"/>
      <c r="C766" s="103"/>
      <c r="D766" s="103"/>
      <c r="E766" s="103"/>
    </row>
    <row r="767" customHeight="1" spans="1:5">
      <c r="A767" s="103"/>
      <c r="B767" s="104"/>
      <c r="C767" s="103"/>
      <c r="D767" s="103"/>
      <c r="E767" s="103"/>
    </row>
    <row r="768" customHeight="1" spans="1:5">
      <c r="A768" s="103"/>
      <c r="B768" s="104"/>
      <c r="C768" s="103"/>
      <c r="D768" s="103"/>
      <c r="E768" s="103"/>
    </row>
    <row r="769" customHeight="1" spans="1:5">
      <c r="A769" s="103"/>
      <c r="B769" s="104"/>
      <c r="C769" s="103"/>
      <c r="D769" s="103"/>
      <c r="E769" s="103"/>
    </row>
    <row r="770" customHeight="1" spans="1:5">
      <c r="A770" s="103"/>
      <c r="B770" s="104"/>
      <c r="C770" s="103"/>
      <c r="D770" s="103"/>
      <c r="E770" s="103"/>
    </row>
    <row r="771" customHeight="1" spans="1:5">
      <c r="A771" s="103"/>
      <c r="B771" s="104"/>
      <c r="C771" s="103"/>
      <c r="D771" s="103"/>
      <c r="E771" s="103"/>
    </row>
    <row r="772" customHeight="1" spans="1:5">
      <c r="A772" s="103"/>
      <c r="B772" s="104"/>
      <c r="C772" s="103"/>
      <c r="D772" s="103"/>
      <c r="E772" s="103"/>
    </row>
    <row r="773" customHeight="1" spans="1:5">
      <c r="A773" s="103"/>
      <c r="B773" s="104"/>
      <c r="C773" s="103"/>
      <c r="D773" s="103"/>
      <c r="E773" s="103"/>
    </row>
    <row r="774" customHeight="1" spans="1:5">
      <c r="A774" s="103"/>
      <c r="B774" s="104"/>
      <c r="C774" s="103"/>
      <c r="D774" s="103"/>
      <c r="E774" s="103"/>
    </row>
    <row r="775" customHeight="1" spans="1:5">
      <c r="A775" s="103"/>
      <c r="B775" s="104"/>
      <c r="C775" s="103"/>
      <c r="D775" s="103"/>
      <c r="E775" s="103"/>
    </row>
    <row r="776" customHeight="1" spans="1:5">
      <c r="A776" s="103"/>
      <c r="B776" s="104"/>
      <c r="C776" s="103"/>
      <c r="D776" s="103"/>
      <c r="E776" s="103"/>
    </row>
    <row r="777" customHeight="1" spans="1:5">
      <c r="A777" s="103"/>
      <c r="B777" s="104"/>
      <c r="C777" s="103"/>
      <c r="D777" s="103"/>
      <c r="E777" s="103"/>
    </row>
    <row r="778" customHeight="1" spans="1:5">
      <c r="A778" s="103"/>
      <c r="B778" s="104"/>
      <c r="C778" s="103"/>
      <c r="D778" s="103"/>
      <c r="E778" s="103"/>
    </row>
    <row r="779" customHeight="1" spans="1:5">
      <c r="A779" s="103"/>
      <c r="B779" s="104"/>
      <c r="C779" s="103"/>
      <c r="D779" s="103"/>
      <c r="E779" s="103"/>
    </row>
    <row r="780" customHeight="1" spans="1:5">
      <c r="A780" s="103"/>
      <c r="B780" s="104"/>
      <c r="C780" s="103"/>
      <c r="D780" s="103"/>
      <c r="E780" s="103"/>
    </row>
    <row r="781" customHeight="1" spans="1:5">
      <c r="A781" s="103"/>
      <c r="B781" s="104"/>
      <c r="C781" s="103"/>
      <c r="D781" s="103"/>
      <c r="E781" s="103"/>
    </row>
    <row r="782" customHeight="1" spans="1:5">
      <c r="A782" s="103"/>
      <c r="B782" s="104"/>
      <c r="C782" s="103"/>
      <c r="D782" s="103"/>
      <c r="E782" s="103"/>
    </row>
    <row r="783" customHeight="1" spans="1:5">
      <c r="A783" s="103"/>
      <c r="B783" s="104"/>
      <c r="C783" s="103"/>
      <c r="D783" s="103"/>
      <c r="E783" s="103"/>
    </row>
    <row r="784" customHeight="1" spans="1:5">
      <c r="A784" s="103"/>
      <c r="B784" s="104"/>
      <c r="C784" s="103"/>
      <c r="D784" s="103"/>
      <c r="E784" s="103"/>
    </row>
    <row r="785" customHeight="1" spans="1:5">
      <c r="A785" s="103"/>
      <c r="B785" s="104"/>
      <c r="C785" s="103"/>
      <c r="D785" s="103"/>
      <c r="E785" s="103"/>
    </row>
    <row r="786" customHeight="1" spans="1:5">
      <c r="A786" s="103"/>
      <c r="B786" s="104"/>
      <c r="C786" s="103"/>
      <c r="D786" s="103"/>
      <c r="E786" s="103"/>
    </row>
    <row r="787" customHeight="1" spans="1:5">
      <c r="A787" s="103"/>
      <c r="B787" s="104"/>
      <c r="C787" s="103"/>
      <c r="D787" s="103"/>
      <c r="E787" s="103"/>
    </row>
    <row r="788" customHeight="1" spans="1:5">
      <c r="A788" s="103"/>
      <c r="B788" s="104"/>
      <c r="C788" s="103"/>
      <c r="D788" s="103"/>
      <c r="E788" s="103"/>
    </row>
    <row r="789" customHeight="1" spans="1:5">
      <c r="A789" s="103"/>
      <c r="B789" s="104"/>
      <c r="C789" s="103"/>
      <c r="D789" s="103"/>
      <c r="E789" s="103"/>
    </row>
    <row r="790" customHeight="1" spans="1:5">
      <c r="A790" s="103"/>
      <c r="B790" s="104"/>
      <c r="C790" s="103"/>
      <c r="D790" s="103"/>
      <c r="E790" s="103"/>
    </row>
    <row r="791" customHeight="1" spans="1:5">
      <c r="A791" s="103"/>
      <c r="B791" s="104"/>
      <c r="C791" s="103"/>
      <c r="D791" s="103"/>
      <c r="E791" s="103"/>
    </row>
    <row r="792" customHeight="1" spans="1:5">
      <c r="A792" s="103"/>
      <c r="B792" s="104"/>
      <c r="C792" s="103"/>
      <c r="D792" s="103"/>
      <c r="E792" s="103"/>
    </row>
    <row r="793" customHeight="1" spans="1:5">
      <c r="A793" s="103"/>
      <c r="B793" s="104"/>
      <c r="C793" s="103"/>
      <c r="D793" s="103"/>
      <c r="E793" s="103"/>
    </row>
    <row r="794" customHeight="1" spans="1:5">
      <c r="A794" s="103"/>
      <c r="B794" s="104"/>
      <c r="C794" s="103"/>
      <c r="D794" s="103"/>
      <c r="E794" s="103"/>
    </row>
    <row r="795" customHeight="1" spans="1:5">
      <c r="A795" s="103"/>
      <c r="B795" s="104"/>
      <c r="C795" s="103"/>
      <c r="D795" s="103"/>
      <c r="E795" s="103"/>
    </row>
    <row r="796" customHeight="1" spans="1:5">
      <c r="A796" s="103"/>
      <c r="B796" s="104"/>
      <c r="C796" s="103"/>
      <c r="D796" s="103"/>
      <c r="E796" s="103"/>
    </row>
    <row r="797" customHeight="1" spans="1:5">
      <c r="A797" s="103"/>
      <c r="B797" s="104"/>
      <c r="C797" s="103"/>
      <c r="D797" s="103"/>
      <c r="E797" s="103"/>
    </row>
    <row r="798" customHeight="1" spans="1:5">
      <c r="A798" s="103"/>
      <c r="B798" s="104"/>
      <c r="C798" s="103"/>
      <c r="D798" s="103"/>
      <c r="E798" s="103"/>
    </row>
    <row r="799" customHeight="1" spans="1:5">
      <c r="A799" s="103"/>
      <c r="B799" s="104"/>
      <c r="C799" s="103"/>
      <c r="D799" s="103"/>
      <c r="E799" s="103"/>
    </row>
    <row r="800" customHeight="1" spans="1:5">
      <c r="A800" s="103"/>
      <c r="B800" s="104"/>
      <c r="C800" s="103"/>
      <c r="D800" s="103"/>
      <c r="E800" s="103"/>
    </row>
    <row r="801" customHeight="1" spans="1:5">
      <c r="A801" s="103"/>
      <c r="B801" s="104"/>
      <c r="C801" s="103"/>
      <c r="D801" s="103"/>
      <c r="E801" s="103"/>
    </row>
    <row r="802" customHeight="1" spans="1:5">
      <c r="A802" s="103"/>
      <c r="B802" s="104"/>
      <c r="C802" s="103"/>
      <c r="D802" s="103"/>
      <c r="E802" s="103"/>
    </row>
    <row r="803" customHeight="1" spans="1:5">
      <c r="A803" s="103"/>
      <c r="B803" s="104"/>
      <c r="C803" s="103"/>
      <c r="D803" s="103"/>
      <c r="E803" s="103"/>
    </row>
    <row r="804" customHeight="1" spans="1:5">
      <c r="A804" s="103"/>
      <c r="B804" s="104"/>
      <c r="C804" s="103"/>
      <c r="D804" s="103"/>
      <c r="E804" s="103"/>
    </row>
    <row r="805" customHeight="1" spans="1:5">
      <c r="A805" s="103"/>
      <c r="B805" s="104"/>
      <c r="C805" s="103"/>
      <c r="D805" s="103"/>
      <c r="E805" s="103"/>
    </row>
    <row r="806" customHeight="1" spans="1:5">
      <c r="A806" s="103"/>
      <c r="B806" s="104"/>
      <c r="C806" s="103"/>
      <c r="D806" s="103"/>
      <c r="E806" s="103"/>
    </row>
    <row r="807" customHeight="1" spans="1:5">
      <c r="A807" s="103"/>
      <c r="B807" s="104"/>
      <c r="C807" s="103"/>
      <c r="D807" s="103"/>
      <c r="E807" s="103"/>
    </row>
    <row r="808" customHeight="1" spans="1:5">
      <c r="A808" s="103"/>
      <c r="B808" s="104"/>
      <c r="C808" s="103"/>
      <c r="D808" s="103"/>
      <c r="E808" s="103"/>
    </row>
    <row r="809" customHeight="1" spans="1:5">
      <c r="A809" s="103"/>
      <c r="B809" s="104"/>
      <c r="C809" s="103"/>
      <c r="D809" s="103"/>
      <c r="E809" s="103"/>
    </row>
    <row r="810" customHeight="1" spans="1:5">
      <c r="A810" s="103"/>
      <c r="B810" s="104"/>
      <c r="C810" s="103"/>
      <c r="D810" s="103"/>
      <c r="E810" s="103"/>
    </row>
    <row r="811" customHeight="1" spans="1:5">
      <c r="A811" s="103"/>
      <c r="B811" s="104"/>
      <c r="C811" s="103"/>
      <c r="D811" s="103"/>
      <c r="E811" s="103"/>
    </row>
    <row r="812" customHeight="1" spans="1:5">
      <c r="A812" s="103"/>
      <c r="B812" s="104"/>
      <c r="C812" s="103"/>
      <c r="D812" s="103"/>
      <c r="E812" s="103"/>
    </row>
    <row r="813" customHeight="1" spans="1:5">
      <c r="A813" s="103"/>
      <c r="B813" s="104"/>
      <c r="C813" s="103"/>
      <c r="D813" s="103"/>
      <c r="E813" s="103"/>
    </row>
    <row r="814" customHeight="1" spans="1:5">
      <c r="A814" s="103"/>
      <c r="B814" s="104"/>
      <c r="C814" s="103"/>
      <c r="D814" s="103"/>
      <c r="E814" s="103"/>
    </row>
    <row r="815" customHeight="1" spans="1:5">
      <c r="A815" s="103"/>
      <c r="B815" s="104"/>
      <c r="C815" s="103"/>
      <c r="D815" s="103"/>
      <c r="E815" s="103"/>
    </row>
    <row r="816" customHeight="1" spans="1:5">
      <c r="A816" s="103"/>
      <c r="B816" s="104"/>
      <c r="C816" s="103"/>
      <c r="D816" s="103"/>
      <c r="E816" s="103"/>
    </row>
    <row r="817" customHeight="1" spans="1:5">
      <c r="A817" s="103"/>
      <c r="B817" s="104"/>
      <c r="C817" s="103"/>
      <c r="D817" s="103"/>
      <c r="E817" s="103"/>
    </row>
    <row r="818" customHeight="1" spans="1:5">
      <c r="A818" s="103"/>
      <c r="B818" s="104"/>
      <c r="C818" s="103"/>
      <c r="D818" s="103"/>
      <c r="E818" s="103"/>
    </row>
    <row r="819" customHeight="1" spans="1:5">
      <c r="A819" s="103"/>
      <c r="B819" s="104"/>
      <c r="C819" s="103"/>
      <c r="D819" s="103"/>
      <c r="E819" s="103"/>
    </row>
    <row r="820" customHeight="1" spans="1:5">
      <c r="A820" s="103"/>
      <c r="B820" s="104"/>
      <c r="C820" s="103"/>
      <c r="D820" s="103"/>
      <c r="E820" s="103"/>
    </row>
    <row r="821" customHeight="1" spans="1:5">
      <c r="A821" s="103"/>
      <c r="B821" s="104"/>
      <c r="C821" s="103"/>
      <c r="D821" s="103"/>
      <c r="E821" s="103"/>
    </row>
    <row r="822" customHeight="1" spans="1:5">
      <c r="A822" s="103"/>
      <c r="B822" s="104"/>
      <c r="C822" s="103"/>
      <c r="D822" s="103"/>
      <c r="E822" s="103"/>
    </row>
    <row r="823" customHeight="1" spans="1:5">
      <c r="A823" s="103"/>
      <c r="B823" s="104"/>
      <c r="C823" s="103"/>
      <c r="D823" s="103"/>
      <c r="E823" s="103"/>
    </row>
    <row r="824" customHeight="1" spans="1:5">
      <c r="A824" s="103"/>
      <c r="B824" s="104"/>
      <c r="C824" s="103"/>
      <c r="D824" s="103"/>
      <c r="E824" s="103"/>
    </row>
    <row r="825" customHeight="1" spans="1:5">
      <c r="A825" s="103"/>
      <c r="B825" s="104"/>
      <c r="C825" s="103"/>
      <c r="D825" s="103"/>
      <c r="E825" s="103"/>
    </row>
    <row r="826" customHeight="1" spans="1:5">
      <c r="A826" s="103"/>
      <c r="B826" s="104"/>
      <c r="C826" s="103"/>
      <c r="D826" s="103"/>
      <c r="E826" s="103"/>
    </row>
    <row r="827" customHeight="1" spans="1:5">
      <c r="A827" s="103"/>
      <c r="B827" s="104"/>
      <c r="C827" s="103"/>
      <c r="D827" s="103"/>
      <c r="E827" s="103"/>
    </row>
    <row r="828" customHeight="1" spans="1:5">
      <c r="A828" s="103"/>
      <c r="B828" s="104"/>
      <c r="C828" s="103"/>
      <c r="D828" s="103"/>
      <c r="E828" s="103"/>
    </row>
    <row r="829" customHeight="1" spans="1:5">
      <c r="A829" s="103"/>
      <c r="B829" s="104"/>
      <c r="C829" s="103"/>
      <c r="D829" s="103"/>
      <c r="E829" s="103"/>
    </row>
    <row r="830" customHeight="1" spans="1:5">
      <c r="A830" s="103"/>
      <c r="B830" s="104"/>
      <c r="C830" s="103"/>
      <c r="D830" s="103"/>
      <c r="E830" s="103"/>
    </row>
    <row r="831" customHeight="1" spans="1:5">
      <c r="A831" s="103"/>
      <c r="B831" s="104"/>
      <c r="C831" s="103"/>
      <c r="D831" s="103"/>
      <c r="E831" s="103"/>
    </row>
    <row r="832" customHeight="1" spans="1:5">
      <c r="A832" s="103"/>
      <c r="B832" s="104"/>
      <c r="C832" s="103"/>
      <c r="D832" s="103"/>
      <c r="E832" s="103"/>
    </row>
    <row r="833" customHeight="1" spans="1:5">
      <c r="A833" s="103"/>
      <c r="B833" s="104"/>
      <c r="C833" s="103"/>
      <c r="D833" s="103"/>
      <c r="E833" s="103"/>
    </row>
    <row r="834" customHeight="1" spans="1:5">
      <c r="A834" s="103"/>
      <c r="B834" s="104"/>
      <c r="C834" s="103"/>
      <c r="D834" s="103"/>
      <c r="E834" s="103"/>
    </row>
    <row r="835" customHeight="1" spans="1:5">
      <c r="A835" s="103"/>
      <c r="B835" s="104"/>
      <c r="C835" s="103"/>
      <c r="D835" s="103"/>
      <c r="E835" s="103"/>
    </row>
    <row r="836" customHeight="1" spans="1:5">
      <c r="A836" s="103"/>
      <c r="B836" s="104"/>
      <c r="C836" s="103"/>
      <c r="D836" s="103"/>
      <c r="E836" s="103"/>
    </row>
    <row r="837" customHeight="1" spans="1:5">
      <c r="A837" s="103"/>
      <c r="B837" s="104"/>
      <c r="C837" s="103"/>
      <c r="D837" s="103"/>
      <c r="E837" s="103"/>
    </row>
    <row r="838" customHeight="1" spans="1:5">
      <c r="A838" s="103"/>
      <c r="B838" s="104"/>
      <c r="C838" s="103"/>
      <c r="D838" s="103"/>
      <c r="E838" s="103"/>
    </row>
    <row r="839" customHeight="1" spans="1:5">
      <c r="A839" s="103"/>
      <c r="B839" s="104"/>
      <c r="C839" s="103"/>
      <c r="D839" s="103"/>
      <c r="E839" s="103"/>
    </row>
    <row r="840" customHeight="1" spans="1:5">
      <c r="A840" s="103"/>
      <c r="B840" s="104"/>
      <c r="C840" s="103"/>
      <c r="D840" s="103"/>
      <c r="E840" s="103"/>
    </row>
    <row r="841" customHeight="1" spans="1:5">
      <c r="A841" s="103"/>
      <c r="B841" s="104"/>
      <c r="C841" s="103"/>
      <c r="D841" s="103"/>
      <c r="E841" s="103"/>
    </row>
    <row r="842" customHeight="1" spans="1:5">
      <c r="A842" s="103"/>
      <c r="B842" s="104"/>
      <c r="C842" s="103"/>
      <c r="D842" s="103"/>
      <c r="E842" s="103"/>
    </row>
    <row r="843" customHeight="1" spans="1:5">
      <c r="A843" s="103"/>
      <c r="B843" s="104"/>
      <c r="C843" s="103"/>
      <c r="D843" s="103"/>
      <c r="E843" s="103"/>
    </row>
    <row r="844" customHeight="1" spans="1:5">
      <c r="A844" s="103"/>
      <c r="B844" s="104"/>
      <c r="C844" s="103"/>
      <c r="D844" s="103"/>
      <c r="E844" s="103"/>
    </row>
    <row r="845" customHeight="1" spans="1:5">
      <c r="A845" s="103"/>
      <c r="B845" s="104"/>
      <c r="C845" s="103"/>
      <c r="D845" s="103"/>
      <c r="E845" s="103"/>
    </row>
    <row r="846" customHeight="1" spans="1:5">
      <c r="A846" s="103"/>
      <c r="B846" s="104"/>
      <c r="C846" s="103"/>
      <c r="D846" s="103"/>
      <c r="E846" s="103"/>
    </row>
    <row r="847" customHeight="1" spans="1:5">
      <c r="A847" s="103"/>
      <c r="B847" s="104"/>
      <c r="C847" s="103"/>
      <c r="D847" s="103"/>
      <c r="E847" s="103"/>
    </row>
    <row r="848" customHeight="1" spans="1:5">
      <c r="A848" s="103"/>
      <c r="B848" s="104"/>
      <c r="C848" s="103"/>
      <c r="D848" s="103"/>
      <c r="E848" s="103"/>
    </row>
    <row r="849" customHeight="1" spans="1:5">
      <c r="A849" s="103"/>
      <c r="B849" s="104"/>
      <c r="C849" s="103"/>
      <c r="D849" s="103"/>
      <c r="E849" s="103"/>
    </row>
    <row r="850" customHeight="1" spans="1:5">
      <c r="A850" s="103"/>
      <c r="B850" s="104"/>
      <c r="C850" s="103"/>
      <c r="D850" s="103"/>
      <c r="E850" s="103"/>
    </row>
    <row r="851" customHeight="1" spans="1:5">
      <c r="A851" s="103"/>
      <c r="B851" s="104"/>
      <c r="C851" s="103"/>
      <c r="D851" s="103"/>
      <c r="E851" s="103"/>
    </row>
    <row r="852" customHeight="1" spans="1:5">
      <c r="A852" s="103"/>
      <c r="B852" s="104"/>
      <c r="C852" s="103"/>
      <c r="D852" s="103"/>
      <c r="E852" s="103"/>
    </row>
    <row r="853" customHeight="1" spans="1:5">
      <c r="A853" s="103"/>
      <c r="B853" s="104"/>
      <c r="C853" s="103"/>
      <c r="D853" s="103"/>
      <c r="E853" s="103"/>
    </row>
    <row r="854" customHeight="1" spans="1:5">
      <c r="A854" s="103"/>
      <c r="B854" s="104"/>
      <c r="C854" s="103"/>
      <c r="D854" s="103"/>
      <c r="E854" s="103"/>
    </row>
    <row r="855" customHeight="1" spans="1:5">
      <c r="A855" s="103"/>
      <c r="B855" s="104"/>
      <c r="C855" s="103"/>
      <c r="D855" s="103"/>
      <c r="E855" s="103"/>
    </row>
    <row r="856" customHeight="1" spans="1:5">
      <c r="A856" s="103"/>
      <c r="B856" s="104"/>
      <c r="C856" s="103"/>
      <c r="D856" s="103"/>
      <c r="E856" s="103"/>
    </row>
    <row r="857" customHeight="1" spans="1:5">
      <c r="A857" s="103"/>
      <c r="B857" s="104"/>
      <c r="C857" s="103"/>
      <c r="D857" s="103"/>
      <c r="E857" s="103"/>
    </row>
    <row r="858" customHeight="1" spans="1:5">
      <c r="A858" s="103"/>
      <c r="B858" s="104"/>
      <c r="C858" s="103"/>
      <c r="D858" s="103"/>
      <c r="E858" s="103"/>
    </row>
    <row r="859" customHeight="1" spans="1:5">
      <c r="A859" s="103"/>
      <c r="B859" s="104"/>
      <c r="C859" s="103"/>
      <c r="D859" s="103"/>
      <c r="E859" s="103"/>
    </row>
    <row r="860" customHeight="1" spans="1:5">
      <c r="A860" s="103"/>
      <c r="B860" s="104"/>
      <c r="C860" s="103"/>
      <c r="D860" s="103"/>
      <c r="E860" s="103"/>
    </row>
    <row r="861" customHeight="1" spans="1:5">
      <c r="A861" s="103"/>
      <c r="B861" s="104"/>
      <c r="C861" s="103"/>
      <c r="D861" s="103"/>
      <c r="E861" s="103"/>
    </row>
    <row r="862" customHeight="1" spans="1:5">
      <c r="A862" s="103"/>
      <c r="B862" s="104"/>
      <c r="C862" s="103"/>
      <c r="D862" s="103"/>
      <c r="E862" s="103"/>
    </row>
    <row r="863" customHeight="1" spans="1:5">
      <c r="A863" s="103"/>
      <c r="B863" s="104"/>
      <c r="C863" s="103"/>
      <c r="D863" s="103"/>
      <c r="E863" s="103"/>
    </row>
    <row r="864" customHeight="1" spans="1:5">
      <c r="A864" s="103"/>
      <c r="B864" s="104"/>
      <c r="C864" s="103"/>
      <c r="D864" s="103"/>
      <c r="E864" s="103"/>
    </row>
    <row r="865" customHeight="1" spans="1:5">
      <c r="A865" s="103"/>
      <c r="B865" s="104"/>
      <c r="C865" s="103"/>
      <c r="D865" s="103"/>
      <c r="E865" s="103"/>
    </row>
    <row r="866" customHeight="1" spans="1:5">
      <c r="A866" s="103"/>
      <c r="B866" s="104"/>
      <c r="C866" s="103"/>
      <c r="D866" s="103"/>
      <c r="E866" s="103"/>
    </row>
    <row r="867" customHeight="1" spans="1:5">
      <c r="A867" s="103"/>
      <c r="B867" s="104"/>
      <c r="C867" s="103"/>
      <c r="D867" s="103"/>
      <c r="E867" s="103"/>
    </row>
    <row r="868" customHeight="1" spans="1:5">
      <c r="A868" s="103"/>
      <c r="B868" s="104"/>
      <c r="C868" s="103"/>
      <c r="D868" s="103"/>
      <c r="E868" s="103"/>
    </row>
    <row r="869" customHeight="1" spans="1:5">
      <c r="A869" s="103"/>
      <c r="B869" s="104"/>
      <c r="C869" s="103"/>
      <c r="D869" s="103"/>
      <c r="E869" s="103"/>
    </row>
    <row r="870" customHeight="1" spans="1:5">
      <c r="A870" s="103"/>
      <c r="B870" s="104"/>
      <c r="C870" s="103"/>
      <c r="D870" s="103"/>
      <c r="E870" s="103"/>
    </row>
    <row r="871" customHeight="1" spans="1:5">
      <c r="A871" s="103"/>
      <c r="B871" s="104"/>
      <c r="C871" s="103"/>
      <c r="D871" s="103"/>
      <c r="E871" s="103"/>
    </row>
    <row r="872" customHeight="1" spans="1:5">
      <c r="A872" s="103"/>
      <c r="B872" s="104"/>
      <c r="C872" s="103"/>
      <c r="D872" s="103"/>
      <c r="E872" s="103"/>
    </row>
    <row r="873" customHeight="1" spans="1:5">
      <c r="A873" s="103"/>
      <c r="B873" s="104"/>
      <c r="C873" s="103"/>
      <c r="D873" s="103"/>
      <c r="E873" s="103"/>
    </row>
    <row r="874" customHeight="1" spans="1:5">
      <c r="A874" s="103"/>
      <c r="B874" s="104"/>
      <c r="C874" s="103"/>
      <c r="D874" s="103"/>
      <c r="E874" s="103"/>
    </row>
    <row r="875" customHeight="1" spans="1:5">
      <c r="A875" s="103"/>
      <c r="B875" s="104"/>
      <c r="C875" s="103"/>
      <c r="D875" s="103"/>
      <c r="E875" s="103"/>
    </row>
    <row r="876" customHeight="1" spans="1:5">
      <c r="A876" s="103"/>
      <c r="B876" s="104"/>
      <c r="C876" s="103"/>
      <c r="D876" s="103"/>
      <c r="E876" s="103"/>
    </row>
    <row r="877" customHeight="1" spans="1:5">
      <c r="A877" s="103"/>
      <c r="B877" s="104"/>
      <c r="C877" s="103"/>
      <c r="D877" s="103"/>
      <c r="E877" s="103"/>
    </row>
    <row r="878" customHeight="1" spans="1:5">
      <c r="A878" s="103"/>
      <c r="B878" s="104"/>
      <c r="C878" s="103"/>
      <c r="D878" s="103"/>
      <c r="E878" s="103"/>
    </row>
    <row r="879" customHeight="1" spans="1:5">
      <c r="A879" s="103"/>
      <c r="B879" s="104"/>
      <c r="C879" s="103"/>
      <c r="D879" s="103"/>
      <c r="E879" s="103"/>
    </row>
    <row r="880" customHeight="1" spans="1:5">
      <c r="A880" s="103"/>
      <c r="B880" s="104"/>
      <c r="C880" s="103"/>
      <c r="D880" s="103"/>
      <c r="E880" s="103"/>
    </row>
    <row r="881" customHeight="1" spans="1:5">
      <c r="A881" s="103"/>
      <c r="B881" s="104"/>
      <c r="C881" s="103"/>
      <c r="D881" s="103"/>
      <c r="E881" s="103"/>
    </row>
    <row r="882" customHeight="1" spans="1:5">
      <c r="A882" s="103"/>
      <c r="B882" s="104"/>
      <c r="C882" s="103"/>
      <c r="D882" s="103"/>
      <c r="E882" s="103"/>
    </row>
    <row r="883" customHeight="1" spans="1:5">
      <c r="A883" s="103"/>
      <c r="B883" s="104"/>
      <c r="C883" s="103"/>
      <c r="D883" s="103"/>
      <c r="E883" s="103"/>
    </row>
    <row r="884" customHeight="1" spans="1:5">
      <c r="A884" s="103"/>
      <c r="B884" s="104"/>
      <c r="C884" s="103"/>
      <c r="D884" s="103"/>
      <c r="E884" s="103"/>
    </row>
    <row r="885" customHeight="1" spans="1:5">
      <c r="A885" s="103"/>
      <c r="B885" s="104"/>
      <c r="C885" s="103"/>
      <c r="D885" s="103"/>
      <c r="E885" s="103"/>
    </row>
    <row r="886" customHeight="1" spans="1:5">
      <c r="A886" s="103"/>
      <c r="B886" s="104"/>
      <c r="C886" s="103"/>
      <c r="D886" s="103"/>
      <c r="E886" s="103"/>
    </row>
    <row r="887" customHeight="1" spans="1:5">
      <c r="A887" s="103"/>
      <c r="B887" s="104"/>
      <c r="C887" s="103"/>
      <c r="D887" s="103"/>
      <c r="E887" s="103"/>
    </row>
    <row r="888" customHeight="1" spans="1:5">
      <c r="A888" s="103"/>
      <c r="B888" s="104"/>
      <c r="C888" s="103"/>
      <c r="D888" s="103"/>
      <c r="E888" s="103"/>
    </row>
    <row r="889" customHeight="1" spans="1:5">
      <c r="A889" s="103"/>
      <c r="B889" s="104"/>
      <c r="C889" s="103"/>
      <c r="D889" s="103"/>
      <c r="E889" s="103"/>
    </row>
    <row r="890" customHeight="1" spans="1:5">
      <c r="A890" s="103"/>
      <c r="B890" s="104"/>
      <c r="C890" s="103"/>
      <c r="D890" s="103"/>
      <c r="E890" s="103"/>
    </row>
    <row r="891" customHeight="1" spans="1:5">
      <c r="A891" s="103"/>
      <c r="B891" s="104"/>
      <c r="C891" s="103"/>
      <c r="D891" s="103"/>
      <c r="E891" s="103"/>
    </row>
    <row r="892" customHeight="1" spans="1:5">
      <c r="A892" s="103"/>
      <c r="B892" s="104"/>
      <c r="C892" s="103"/>
      <c r="D892" s="103"/>
      <c r="E892" s="103"/>
    </row>
    <row r="893" customHeight="1" spans="1:5">
      <c r="A893" s="103"/>
      <c r="B893" s="104"/>
      <c r="C893" s="103"/>
      <c r="D893" s="103"/>
      <c r="E893" s="103"/>
    </row>
    <row r="894" customHeight="1" spans="1:5">
      <c r="A894" s="103"/>
      <c r="B894" s="104"/>
      <c r="C894" s="103"/>
      <c r="D894" s="103"/>
      <c r="E894" s="103"/>
    </row>
    <row r="895" customHeight="1" spans="1:5">
      <c r="A895" s="103"/>
      <c r="B895" s="104"/>
      <c r="C895" s="103"/>
      <c r="D895" s="103"/>
      <c r="E895" s="103"/>
    </row>
    <row r="896" customHeight="1" spans="1:5">
      <c r="A896" s="103"/>
      <c r="B896" s="104"/>
      <c r="C896" s="103"/>
      <c r="D896" s="103"/>
      <c r="E896" s="103"/>
    </row>
    <row r="897" customHeight="1" spans="1:5">
      <c r="A897" s="103"/>
      <c r="B897" s="104"/>
      <c r="C897" s="103"/>
      <c r="D897" s="103"/>
      <c r="E897" s="103"/>
    </row>
    <row r="898" customHeight="1" spans="1:5">
      <c r="A898" s="103"/>
      <c r="B898" s="104"/>
      <c r="C898" s="103"/>
      <c r="D898" s="103"/>
      <c r="E898" s="103"/>
    </row>
    <row r="899" customHeight="1" spans="1:5">
      <c r="A899" s="103"/>
      <c r="B899" s="104"/>
      <c r="C899" s="103"/>
      <c r="D899" s="103"/>
      <c r="E899" s="103"/>
    </row>
    <row r="900" customHeight="1" spans="1:5">
      <c r="A900" s="103"/>
      <c r="B900" s="104"/>
      <c r="C900" s="103"/>
      <c r="D900" s="103"/>
      <c r="E900" s="103"/>
    </row>
    <row r="901" customHeight="1" spans="1:5">
      <c r="A901" s="103"/>
      <c r="B901" s="104"/>
      <c r="C901" s="103"/>
      <c r="D901" s="103"/>
      <c r="E901" s="103"/>
    </row>
    <row r="902" customHeight="1" spans="1:5">
      <c r="A902" s="103"/>
      <c r="B902" s="104"/>
      <c r="C902" s="103"/>
      <c r="D902" s="103"/>
      <c r="E902" s="103"/>
    </row>
    <row r="903" customHeight="1" spans="1:5">
      <c r="A903" s="103"/>
      <c r="B903" s="104"/>
      <c r="C903" s="103"/>
      <c r="D903" s="103"/>
      <c r="E903" s="103"/>
    </row>
    <row r="904" customHeight="1" spans="1:5">
      <c r="A904" s="103"/>
      <c r="B904" s="104"/>
      <c r="C904" s="103"/>
      <c r="D904" s="103"/>
      <c r="E904" s="103"/>
    </row>
    <row r="905" customHeight="1" spans="1:5">
      <c r="A905" s="103"/>
      <c r="B905" s="104"/>
      <c r="C905" s="103"/>
      <c r="D905" s="103"/>
      <c r="E905" s="103"/>
    </row>
    <row r="906" customHeight="1" spans="1:5">
      <c r="A906" s="103"/>
      <c r="B906" s="104"/>
      <c r="C906" s="103"/>
      <c r="D906" s="103"/>
      <c r="E906" s="103"/>
    </row>
    <row r="907" customHeight="1" spans="1:5">
      <c r="A907" s="103"/>
      <c r="B907" s="104"/>
      <c r="C907" s="103"/>
      <c r="D907" s="103"/>
      <c r="E907" s="103"/>
    </row>
    <row r="908" customHeight="1" spans="1:5">
      <c r="A908" s="103"/>
      <c r="B908" s="104"/>
      <c r="C908" s="103"/>
      <c r="D908" s="103"/>
      <c r="E908" s="103"/>
    </row>
    <row r="909" customHeight="1" spans="1:5">
      <c r="A909" s="103"/>
      <c r="B909" s="104"/>
      <c r="C909" s="103"/>
      <c r="D909" s="103"/>
      <c r="E909" s="103"/>
    </row>
    <row r="910" customHeight="1" spans="1:5">
      <c r="A910" s="103"/>
      <c r="B910" s="104"/>
      <c r="C910" s="103"/>
      <c r="D910" s="103"/>
      <c r="E910" s="103"/>
    </row>
    <row r="911" customHeight="1" spans="1:5">
      <c r="A911" s="103"/>
      <c r="B911" s="104"/>
      <c r="C911" s="103"/>
      <c r="D911" s="103"/>
      <c r="E911" s="103"/>
    </row>
    <row r="912" customHeight="1" spans="1:5">
      <c r="A912" s="103"/>
      <c r="B912" s="104"/>
      <c r="C912" s="103"/>
      <c r="D912" s="103"/>
      <c r="E912" s="103"/>
    </row>
    <row r="913" customHeight="1" spans="1:5">
      <c r="A913" s="103"/>
      <c r="B913" s="104"/>
      <c r="C913" s="103"/>
      <c r="D913" s="103"/>
      <c r="E913" s="103"/>
    </row>
    <row r="914" customHeight="1" spans="1:5">
      <c r="A914" s="103"/>
      <c r="B914" s="104"/>
      <c r="C914" s="103"/>
      <c r="D914" s="103"/>
      <c r="E914" s="103"/>
    </row>
    <row r="915" customHeight="1" spans="1:5">
      <c r="A915" s="103"/>
      <c r="B915" s="104"/>
      <c r="C915" s="103"/>
      <c r="D915" s="103"/>
      <c r="E915" s="103"/>
    </row>
    <row r="916" customHeight="1" spans="1:5">
      <c r="A916" s="103"/>
      <c r="B916" s="104"/>
      <c r="C916" s="103"/>
      <c r="D916" s="103"/>
      <c r="E916" s="103"/>
    </row>
    <row r="917" customHeight="1" spans="1:5">
      <c r="A917" s="103"/>
      <c r="B917" s="104"/>
      <c r="C917" s="103"/>
      <c r="D917" s="103"/>
      <c r="E917" s="103"/>
    </row>
    <row r="918" customHeight="1" spans="1:5">
      <c r="A918" s="103"/>
      <c r="B918" s="104"/>
      <c r="C918" s="103"/>
      <c r="D918" s="103"/>
      <c r="E918" s="103"/>
    </row>
    <row r="919" customHeight="1" spans="1:5">
      <c r="A919" s="103"/>
      <c r="B919" s="104"/>
      <c r="C919" s="103"/>
      <c r="D919" s="103"/>
      <c r="E919" s="103"/>
    </row>
    <row r="920" customHeight="1" spans="1:5">
      <c r="A920" s="103"/>
      <c r="B920" s="104"/>
      <c r="C920" s="103"/>
      <c r="D920" s="103"/>
      <c r="E920" s="103"/>
    </row>
    <row r="921" customHeight="1" spans="1:5">
      <c r="A921" s="103"/>
      <c r="B921" s="104"/>
      <c r="C921" s="103"/>
      <c r="D921" s="103"/>
      <c r="E921" s="103"/>
    </row>
    <row r="922" customHeight="1" spans="1:5">
      <c r="A922" s="103"/>
      <c r="B922" s="104"/>
      <c r="C922" s="103"/>
      <c r="D922" s="103"/>
      <c r="E922" s="103"/>
    </row>
    <row r="923" customHeight="1" spans="1:5">
      <c r="A923" s="103"/>
      <c r="B923" s="104"/>
      <c r="C923" s="103"/>
      <c r="D923" s="103"/>
      <c r="E923" s="103"/>
    </row>
    <row r="924" customHeight="1" spans="1:5">
      <c r="A924" s="103"/>
      <c r="B924" s="104"/>
      <c r="C924" s="103"/>
      <c r="D924" s="103"/>
      <c r="E924" s="103"/>
    </row>
    <row r="925" customHeight="1" spans="1:5">
      <c r="A925" s="103"/>
      <c r="B925" s="104"/>
      <c r="C925" s="103"/>
      <c r="D925" s="103"/>
      <c r="E925" s="103"/>
    </row>
    <row r="926" customHeight="1" spans="1:5">
      <c r="A926" s="103"/>
      <c r="B926" s="104"/>
      <c r="C926" s="103"/>
      <c r="D926" s="103"/>
      <c r="E926" s="103"/>
    </row>
    <row r="927" customHeight="1" spans="1:5">
      <c r="A927" s="103"/>
      <c r="B927" s="104"/>
      <c r="C927" s="103"/>
      <c r="D927" s="103"/>
      <c r="E927" s="103"/>
    </row>
    <row r="928" customHeight="1" spans="1:5">
      <c r="A928" s="103"/>
      <c r="B928" s="104"/>
      <c r="C928" s="103"/>
      <c r="D928" s="103"/>
      <c r="E928" s="103"/>
    </row>
    <row r="929" customHeight="1" spans="1:5">
      <c r="A929" s="103"/>
      <c r="B929" s="104"/>
      <c r="C929" s="103"/>
      <c r="D929" s="103"/>
      <c r="E929" s="103"/>
    </row>
    <row r="930" customHeight="1" spans="1:5">
      <c r="A930" s="103"/>
      <c r="B930" s="104"/>
      <c r="C930" s="103"/>
      <c r="D930" s="103"/>
      <c r="E930" s="103"/>
    </row>
    <row r="931" customHeight="1" spans="1:5">
      <c r="A931" s="103"/>
      <c r="B931" s="104"/>
      <c r="C931" s="103"/>
      <c r="D931" s="103"/>
      <c r="E931" s="103"/>
    </row>
    <row r="932" customHeight="1" spans="1:5">
      <c r="A932" s="103"/>
      <c r="B932" s="104"/>
      <c r="C932" s="103"/>
      <c r="D932" s="103"/>
      <c r="E932" s="103"/>
    </row>
    <row r="933" customHeight="1" spans="1:5">
      <c r="A933" s="103"/>
      <c r="B933" s="104"/>
      <c r="C933" s="103"/>
      <c r="D933" s="103"/>
      <c r="E933" s="103"/>
    </row>
    <row r="934" customHeight="1" spans="1:5">
      <c r="A934" s="103"/>
      <c r="B934" s="104"/>
      <c r="C934" s="103"/>
      <c r="D934" s="103"/>
      <c r="E934" s="103"/>
    </row>
    <row r="935" customHeight="1" spans="1:5">
      <c r="A935" s="103"/>
      <c r="B935" s="104"/>
      <c r="C935" s="103"/>
      <c r="D935" s="103"/>
      <c r="E935" s="103"/>
    </row>
    <row r="936" customHeight="1" spans="1:5">
      <c r="A936" s="103"/>
      <c r="B936" s="104"/>
      <c r="C936" s="103"/>
      <c r="D936" s="103"/>
      <c r="E936" s="103"/>
    </row>
    <row r="937" customHeight="1" spans="1:5">
      <c r="A937" s="103"/>
      <c r="B937" s="104"/>
      <c r="C937" s="103"/>
      <c r="D937" s="103"/>
      <c r="E937" s="103"/>
    </row>
    <row r="938" customHeight="1" spans="1:5">
      <c r="A938" s="103"/>
      <c r="B938" s="104"/>
      <c r="C938" s="103"/>
      <c r="D938" s="103"/>
      <c r="E938" s="103"/>
    </row>
    <row r="939" customHeight="1" spans="1:5">
      <c r="A939" s="103"/>
      <c r="B939" s="104"/>
      <c r="C939" s="103"/>
      <c r="D939" s="103"/>
      <c r="E939" s="103"/>
    </row>
    <row r="940" customHeight="1" spans="1:5">
      <c r="A940" s="103"/>
      <c r="B940" s="104"/>
      <c r="C940" s="103"/>
      <c r="D940" s="103"/>
      <c r="E940" s="103"/>
    </row>
    <row r="941" customHeight="1" spans="1:5">
      <c r="A941" s="103"/>
      <c r="B941" s="104"/>
      <c r="C941" s="103"/>
      <c r="D941" s="103"/>
      <c r="E941" s="103"/>
    </row>
    <row r="942" customHeight="1" spans="1:5">
      <c r="A942" s="103"/>
      <c r="B942" s="104"/>
      <c r="C942" s="103"/>
      <c r="D942" s="103"/>
      <c r="E942" s="103"/>
    </row>
    <row r="943" customHeight="1" spans="1:5">
      <c r="A943" s="103"/>
      <c r="B943" s="104"/>
      <c r="C943" s="103"/>
      <c r="D943" s="103"/>
      <c r="E943" s="103"/>
    </row>
    <row r="944" customHeight="1" spans="1:5">
      <c r="A944" s="103"/>
      <c r="B944" s="104"/>
      <c r="C944" s="103"/>
      <c r="D944" s="103"/>
      <c r="E944" s="103"/>
    </row>
    <row r="945" customHeight="1" spans="1:5">
      <c r="A945" s="103"/>
      <c r="B945" s="104"/>
      <c r="C945" s="103"/>
      <c r="D945" s="103"/>
      <c r="E945" s="103"/>
    </row>
    <row r="946" customHeight="1" spans="1:5">
      <c r="A946" s="103"/>
      <c r="B946" s="104"/>
      <c r="C946" s="103"/>
      <c r="D946" s="103"/>
      <c r="E946" s="103"/>
    </row>
    <row r="947" customHeight="1" spans="1:5">
      <c r="A947" s="103"/>
      <c r="B947" s="104"/>
      <c r="C947" s="103"/>
      <c r="D947" s="103"/>
      <c r="E947" s="103"/>
    </row>
    <row r="948" customHeight="1" spans="1:5">
      <c r="A948" s="103"/>
      <c r="B948" s="104"/>
      <c r="C948" s="103"/>
      <c r="D948" s="103"/>
      <c r="E948" s="103"/>
    </row>
    <row r="949" customHeight="1" spans="1:5">
      <c r="A949" s="103"/>
      <c r="B949" s="104"/>
      <c r="C949" s="103"/>
      <c r="D949" s="103"/>
      <c r="E949" s="103"/>
    </row>
    <row r="950" customHeight="1" spans="1:5">
      <c r="A950" s="103"/>
      <c r="B950" s="104"/>
      <c r="C950" s="103"/>
      <c r="D950" s="103"/>
      <c r="E950" s="103"/>
    </row>
    <row r="951" customHeight="1" spans="1:5">
      <c r="A951" s="103"/>
      <c r="B951" s="104"/>
      <c r="C951" s="103"/>
      <c r="D951" s="103"/>
      <c r="E951" s="103"/>
    </row>
    <row r="952" customHeight="1" spans="1:5">
      <c r="A952" s="103"/>
      <c r="B952" s="104"/>
      <c r="C952" s="103"/>
      <c r="D952" s="103"/>
      <c r="E952" s="103"/>
    </row>
    <row r="953" customHeight="1" spans="1:5">
      <c r="A953" s="103"/>
      <c r="B953" s="104"/>
      <c r="C953" s="103"/>
      <c r="D953" s="103"/>
      <c r="E953" s="103"/>
    </row>
    <row r="954" customHeight="1" spans="1:5">
      <c r="A954" s="103"/>
      <c r="B954" s="104"/>
      <c r="C954" s="103"/>
      <c r="D954" s="103"/>
      <c r="E954" s="103"/>
    </row>
    <row r="955" customHeight="1" spans="1:5">
      <c r="A955" s="103"/>
      <c r="B955" s="104"/>
      <c r="C955" s="103"/>
      <c r="D955" s="103"/>
      <c r="E955" s="103"/>
    </row>
    <row r="956" customHeight="1" spans="1:5">
      <c r="A956" s="103"/>
      <c r="B956" s="104"/>
      <c r="C956" s="103"/>
      <c r="D956" s="103"/>
      <c r="E956" s="103"/>
    </row>
    <row r="957" customHeight="1" spans="1:5">
      <c r="A957" s="103"/>
      <c r="B957" s="104"/>
      <c r="C957" s="103"/>
      <c r="D957" s="103"/>
      <c r="E957" s="103"/>
    </row>
    <row r="958" customHeight="1" spans="1:5">
      <c r="A958" s="103"/>
      <c r="B958" s="104"/>
      <c r="C958" s="103"/>
      <c r="D958" s="103"/>
      <c r="E958" s="103"/>
    </row>
    <row r="959" customHeight="1" spans="1:5">
      <c r="A959" s="103"/>
      <c r="B959" s="104"/>
      <c r="C959" s="103"/>
      <c r="D959" s="103"/>
      <c r="E959" s="103"/>
    </row>
    <row r="960" customHeight="1" spans="1:5">
      <c r="A960" s="103"/>
      <c r="B960" s="104"/>
      <c r="C960" s="103"/>
      <c r="D960" s="103"/>
      <c r="E960" s="103"/>
    </row>
    <row r="961" customHeight="1" spans="1:5">
      <c r="A961" s="103"/>
      <c r="B961" s="104"/>
      <c r="C961" s="103"/>
      <c r="D961" s="103"/>
      <c r="E961" s="103"/>
    </row>
    <row r="962" customHeight="1" spans="1:5">
      <c r="A962" s="103"/>
      <c r="B962" s="104"/>
      <c r="C962" s="103"/>
      <c r="D962" s="103"/>
      <c r="E962" s="103"/>
    </row>
    <row r="963" customHeight="1" spans="1:5">
      <c r="A963" s="103"/>
      <c r="B963" s="104"/>
      <c r="C963" s="103"/>
      <c r="D963" s="103"/>
      <c r="E963" s="103"/>
    </row>
    <row r="964" customHeight="1" spans="1:5">
      <c r="A964" s="103"/>
      <c r="B964" s="104"/>
      <c r="C964" s="103"/>
      <c r="D964" s="103"/>
      <c r="E964" s="103"/>
    </row>
    <row r="965" customHeight="1" spans="1:5">
      <c r="A965" s="103"/>
      <c r="B965" s="104"/>
      <c r="C965" s="103"/>
      <c r="D965" s="103"/>
      <c r="E965" s="103"/>
    </row>
    <row r="966" customHeight="1" spans="1:5">
      <c r="A966" s="103"/>
      <c r="B966" s="104"/>
      <c r="C966" s="103"/>
      <c r="D966" s="103"/>
      <c r="E966" s="103"/>
    </row>
    <row r="967" customHeight="1" spans="1:5">
      <c r="A967" s="103"/>
      <c r="B967" s="104"/>
      <c r="C967" s="103"/>
      <c r="D967" s="103"/>
      <c r="E967" s="103"/>
    </row>
    <row r="968" customHeight="1" spans="1:5">
      <c r="A968" s="103"/>
      <c r="B968" s="104"/>
      <c r="C968" s="103"/>
      <c r="D968" s="103"/>
      <c r="E968" s="103"/>
    </row>
    <row r="969" customHeight="1" spans="1:5">
      <c r="A969" s="103"/>
      <c r="B969" s="104"/>
      <c r="C969" s="103"/>
      <c r="D969" s="103"/>
      <c r="E969" s="103"/>
    </row>
    <row r="970" customHeight="1" spans="1:5">
      <c r="A970" s="103"/>
      <c r="B970" s="104"/>
      <c r="C970" s="103"/>
      <c r="D970" s="103"/>
      <c r="E970" s="103"/>
    </row>
    <row r="971" customHeight="1" spans="1:5">
      <c r="A971" s="103"/>
      <c r="B971" s="104"/>
      <c r="C971" s="103"/>
      <c r="D971" s="103"/>
      <c r="E971" s="103"/>
    </row>
    <row r="972" customHeight="1" spans="1:5">
      <c r="A972" s="103"/>
      <c r="B972" s="104"/>
      <c r="C972" s="103"/>
      <c r="D972" s="103"/>
      <c r="E972" s="103"/>
    </row>
    <row r="973" customHeight="1" spans="1:5">
      <c r="A973" s="103"/>
      <c r="B973" s="104"/>
      <c r="C973" s="103"/>
      <c r="D973" s="103"/>
      <c r="E973" s="103"/>
    </row>
    <row r="974" customHeight="1" spans="1:5">
      <c r="A974" s="103"/>
      <c r="B974" s="104"/>
      <c r="C974" s="103"/>
      <c r="D974" s="103"/>
      <c r="E974" s="103"/>
    </row>
    <row r="975" customHeight="1" spans="1:5">
      <c r="A975" s="103"/>
      <c r="B975" s="104"/>
      <c r="C975" s="103"/>
      <c r="D975" s="103"/>
      <c r="E975" s="103"/>
    </row>
    <row r="976" customHeight="1" spans="1:5">
      <c r="A976" s="103"/>
      <c r="B976" s="104"/>
      <c r="C976" s="103"/>
      <c r="D976" s="103"/>
      <c r="E976" s="103"/>
    </row>
    <row r="977" customHeight="1" spans="1:5">
      <c r="A977" s="103"/>
      <c r="B977" s="104"/>
      <c r="C977" s="103"/>
      <c r="D977" s="103"/>
      <c r="E977" s="103"/>
    </row>
    <row r="978" customHeight="1" spans="1:5">
      <c r="A978" s="103"/>
      <c r="B978" s="104"/>
      <c r="C978" s="103"/>
      <c r="D978" s="103"/>
      <c r="E978" s="103"/>
    </row>
    <row r="979" customHeight="1" spans="1:5">
      <c r="A979" s="103"/>
      <c r="B979" s="104"/>
      <c r="C979" s="103"/>
      <c r="D979" s="103"/>
      <c r="E979" s="103"/>
    </row>
    <row r="980" customHeight="1" spans="1:5">
      <c r="A980" s="103"/>
      <c r="B980" s="104"/>
      <c r="C980" s="103"/>
      <c r="D980" s="103"/>
      <c r="E980" s="103"/>
    </row>
    <row r="981" customHeight="1" spans="1:5">
      <c r="A981" s="103"/>
      <c r="B981" s="104"/>
      <c r="C981" s="103"/>
      <c r="D981" s="103"/>
      <c r="E981" s="103"/>
    </row>
    <row r="982" customHeight="1" spans="1:5">
      <c r="A982" s="103"/>
      <c r="B982" s="104"/>
      <c r="C982" s="103"/>
      <c r="D982" s="103"/>
      <c r="E982" s="103"/>
    </row>
    <row r="983" customHeight="1" spans="1:5">
      <c r="A983" s="103"/>
      <c r="B983" s="104"/>
      <c r="C983" s="103"/>
      <c r="D983" s="103"/>
      <c r="E983" s="103"/>
    </row>
    <row r="984" customHeight="1" spans="1:5">
      <c r="A984" s="103"/>
      <c r="B984" s="104"/>
      <c r="C984" s="103"/>
      <c r="D984" s="103"/>
      <c r="E984" s="103"/>
    </row>
    <row r="985" customHeight="1" spans="1:5">
      <c r="A985" s="103"/>
      <c r="B985" s="104"/>
      <c r="C985" s="103"/>
      <c r="D985" s="103"/>
      <c r="E985" s="103"/>
    </row>
    <row r="986" customHeight="1" spans="1:5">
      <c r="A986" s="103"/>
      <c r="B986" s="104"/>
      <c r="C986" s="103"/>
      <c r="D986" s="103"/>
      <c r="E986" s="103"/>
    </row>
    <row r="987" customHeight="1" spans="1:5">
      <c r="A987" s="103"/>
      <c r="B987" s="104"/>
      <c r="C987" s="103"/>
      <c r="D987" s="103"/>
      <c r="E987" s="103"/>
    </row>
    <row r="988" customHeight="1" spans="1:5">
      <c r="A988" s="103"/>
      <c r="B988" s="104"/>
      <c r="C988" s="103"/>
      <c r="D988" s="103"/>
      <c r="E988" s="103"/>
    </row>
    <row r="989" customHeight="1" spans="1:5">
      <c r="A989" s="103"/>
      <c r="B989" s="104"/>
      <c r="C989" s="103"/>
      <c r="D989" s="103"/>
      <c r="E989" s="103"/>
    </row>
    <row r="990" customHeight="1" spans="1:5">
      <c r="A990" s="103"/>
      <c r="B990" s="104"/>
      <c r="C990" s="103"/>
      <c r="D990" s="103"/>
      <c r="E990" s="103"/>
    </row>
    <row r="991" customHeight="1" spans="1:5">
      <c r="A991" s="103"/>
      <c r="B991" s="104"/>
      <c r="C991" s="103"/>
      <c r="D991" s="103"/>
      <c r="E991" s="103"/>
    </row>
  </sheetData>
  <mergeCells count="2">
    <mergeCell ref="A1:G1"/>
    <mergeCell ref="A31:B31"/>
  </mergeCells>
  <pageMargins left="0.66875" right="0.432638888888889" top="0.472222222222222" bottom="0.511805555555556" header="0.314583333333333" footer="0.31458333333333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26" sqref="K26"/>
    </sheetView>
  </sheetViews>
  <sheetFormatPr defaultColWidth="9.14285714285714" defaultRowHeight="15" outlineLevelCol="6"/>
  <cols>
    <col min="2" max="2" width="27.8571428571429" style="68" customWidth="1"/>
    <col min="3" max="3" width="12.5714285714286" style="25" customWidth="1"/>
    <col min="4" max="4" width="10.7619047619048" style="25" customWidth="1"/>
    <col min="5" max="5" width="10.5904761904762" style="25" customWidth="1"/>
    <col min="6" max="6" width="8.59047619047619" style="69" customWidth="1"/>
    <col min="7" max="7" width="11.7142857142857" style="70" customWidth="1"/>
  </cols>
  <sheetData>
    <row r="1" ht="23" customHeight="1" spans="1:7">
      <c r="A1" s="71" t="s">
        <v>82</v>
      </c>
      <c r="B1" s="71"/>
      <c r="C1" s="71"/>
      <c r="D1" s="71"/>
      <c r="E1" s="71"/>
      <c r="F1" s="72"/>
      <c r="G1" s="73"/>
    </row>
    <row r="2" s="86" customFormat="1" ht="47.25" spans="1:7">
      <c r="A2" s="74" t="s">
        <v>42</v>
      </c>
      <c r="B2" s="74" t="s">
        <v>43</v>
      </c>
      <c r="C2" s="87" t="s">
        <v>83</v>
      </c>
      <c r="D2" s="87" t="s">
        <v>84</v>
      </c>
      <c r="E2" s="87" t="s">
        <v>85</v>
      </c>
      <c r="F2" s="76" t="s">
        <v>5</v>
      </c>
      <c r="G2" s="77" t="s">
        <v>6</v>
      </c>
    </row>
    <row r="3" spans="1:7">
      <c r="A3" s="78">
        <v>1</v>
      </c>
      <c r="B3" s="88" t="s">
        <v>86</v>
      </c>
      <c r="C3" s="89">
        <v>78</v>
      </c>
      <c r="D3" s="89">
        <v>78</v>
      </c>
      <c r="E3" s="89"/>
      <c r="F3" s="81">
        <f>IF(C3=0,0,D3/C3*100)</f>
        <v>100</v>
      </c>
      <c r="G3" s="45">
        <f t="shared" ref="G3:G30" si="0">F3*0.05</f>
        <v>5</v>
      </c>
    </row>
    <row r="4" spans="1:7">
      <c r="A4" s="78">
        <v>2</v>
      </c>
      <c r="B4" s="88" t="s">
        <v>34</v>
      </c>
      <c r="C4" s="89">
        <v>12</v>
      </c>
      <c r="D4" s="89">
        <v>12</v>
      </c>
      <c r="E4" s="89"/>
      <c r="F4" s="81">
        <f t="shared" ref="F4:F31" si="1">IF(C4=0,0,D4/C4*100)</f>
        <v>100</v>
      </c>
      <c r="G4" s="45">
        <f t="shared" si="0"/>
        <v>5</v>
      </c>
    </row>
    <row r="5" spans="1:7">
      <c r="A5" s="78">
        <v>3</v>
      </c>
      <c r="B5" s="88" t="s">
        <v>21</v>
      </c>
      <c r="C5" s="89">
        <v>178</v>
      </c>
      <c r="D5" s="89">
        <v>178</v>
      </c>
      <c r="E5" s="89"/>
      <c r="F5" s="81">
        <f t="shared" si="1"/>
        <v>100</v>
      </c>
      <c r="G5" s="45">
        <f t="shared" si="0"/>
        <v>5</v>
      </c>
    </row>
    <row r="6" spans="1:7">
      <c r="A6" s="78">
        <v>4</v>
      </c>
      <c r="B6" s="88" t="s">
        <v>31</v>
      </c>
      <c r="C6" s="89">
        <v>23</v>
      </c>
      <c r="D6" s="89">
        <v>23</v>
      </c>
      <c r="E6" s="89"/>
      <c r="F6" s="81">
        <f t="shared" si="1"/>
        <v>100</v>
      </c>
      <c r="G6" s="45">
        <f t="shared" si="0"/>
        <v>5</v>
      </c>
    </row>
    <row r="7" spans="1:7">
      <c r="A7" s="78">
        <v>5</v>
      </c>
      <c r="B7" s="88" t="s">
        <v>32</v>
      </c>
      <c r="C7" s="89">
        <v>42</v>
      </c>
      <c r="D7" s="89">
        <v>42</v>
      </c>
      <c r="E7" s="89"/>
      <c r="F7" s="81">
        <f t="shared" si="1"/>
        <v>100</v>
      </c>
      <c r="G7" s="45">
        <f t="shared" si="0"/>
        <v>5</v>
      </c>
    </row>
    <row r="8" spans="1:7">
      <c r="A8" s="78">
        <v>6</v>
      </c>
      <c r="B8" s="88" t="s">
        <v>30</v>
      </c>
      <c r="C8" s="89">
        <v>44</v>
      </c>
      <c r="D8" s="89">
        <v>44</v>
      </c>
      <c r="E8" s="89"/>
      <c r="F8" s="81">
        <f t="shared" si="1"/>
        <v>100</v>
      </c>
      <c r="G8" s="45">
        <f t="shared" si="0"/>
        <v>5</v>
      </c>
    </row>
    <row r="9" spans="1:7">
      <c r="A9" s="78">
        <v>7</v>
      </c>
      <c r="B9" s="88" t="s">
        <v>25</v>
      </c>
      <c r="C9" s="89">
        <v>20</v>
      </c>
      <c r="D9" s="89">
        <v>20</v>
      </c>
      <c r="E9" s="89"/>
      <c r="F9" s="81">
        <f t="shared" si="1"/>
        <v>100</v>
      </c>
      <c r="G9" s="45">
        <f t="shared" si="0"/>
        <v>5</v>
      </c>
    </row>
    <row r="10" spans="1:7">
      <c r="A10" s="78">
        <v>8</v>
      </c>
      <c r="B10" s="88" t="s">
        <v>87</v>
      </c>
      <c r="C10" s="89">
        <v>122</v>
      </c>
      <c r="D10" s="89">
        <v>122</v>
      </c>
      <c r="E10" s="89"/>
      <c r="F10" s="81">
        <f t="shared" si="1"/>
        <v>100</v>
      </c>
      <c r="G10" s="45">
        <f t="shared" si="0"/>
        <v>5</v>
      </c>
    </row>
    <row r="11" spans="1:7">
      <c r="A11" s="78">
        <v>9</v>
      </c>
      <c r="B11" s="88" t="s">
        <v>24</v>
      </c>
      <c r="C11" s="89">
        <v>5</v>
      </c>
      <c r="D11" s="89">
        <v>5</v>
      </c>
      <c r="E11" s="89"/>
      <c r="F11" s="81">
        <f t="shared" si="1"/>
        <v>100</v>
      </c>
      <c r="G11" s="45">
        <f t="shared" si="0"/>
        <v>5</v>
      </c>
    </row>
    <row r="12" spans="1:7">
      <c r="A12" s="78">
        <v>10</v>
      </c>
      <c r="B12" s="88" t="s">
        <v>88</v>
      </c>
      <c r="C12" s="89">
        <v>57</v>
      </c>
      <c r="D12" s="89">
        <v>56</v>
      </c>
      <c r="E12" s="89">
        <v>1</v>
      </c>
      <c r="F12" s="81">
        <f t="shared" si="1"/>
        <v>98.2456140350877</v>
      </c>
      <c r="G12" s="45">
        <f t="shared" si="0"/>
        <v>4.91228070175439</v>
      </c>
    </row>
    <row r="13" spans="1:7">
      <c r="A13" s="78">
        <v>11</v>
      </c>
      <c r="B13" s="88" t="s">
        <v>89</v>
      </c>
      <c r="C13" s="89">
        <v>274</v>
      </c>
      <c r="D13" s="89">
        <v>271</v>
      </c>
      <c r="E13" s="89">
        <v>3</v>
      </c>
      <c r="F13" s="81">
        <f t="shared" si="1"/>
        <v>98.9051094890511</v>
      </c>
      <c r="G13" s="45">
        <f t="shared" si="0"/>
        <v>4.94525547445255</v>
      </c>
    </row>
    <row r="14" spans="1:7">
      <c r="A14" s="78">
        <v>12</v>
      </c>
      <c r="B14" s="88" t="s">
        <v>90</v>
      </c>
      <c r="C14" s="89">
        <v>97</v>
      </c>
      <c r="D14" s="89">
        <v>97</v>
      </c>
      <c r="E14" s="89"/>
      <c r="F14" s="81">
        <f t="shared" si="1"/>
        <v>100</v>
      </c>
      <c r="G14" s="45">
        <f t="shared" si="0"/>
        <v>5</v>
      </c>
    </row>
    <row r="15" spans="1:7">
      <c r="A15" s="78">
        <v>13</v>
      </c>
      <c r="B15" s="88" t="s">
        <v>16</v>
      </c>
      <c r="C15" s="89">
        <v>40</v>
      </c>
      <c r="D15" s="89">
        <v>40</v>
      </c>
      <c r="E15" s="89"/>
      <c r="F15" s="81">
        <f t="shared" si="1"/>
        <v>100</v>
      </c>
      <c r="G15" s="45">
        <f t="shared" si="0"/>
        <v>5</v>
      </c>
    </row>
    <row r="16" spans="1:7">
      <c r="A16" s="78">
        <v>14</v>
      </c>
      <c r="B16" s="88" t="s">
        <v>15</v>
      </c>
      <c r="C16" s="89">
        <v>115</v>
      </c>
      <c r="D16" s="89">
        <v>115</v>
      </c>
      <c r="E16" s="89"/>
      <c r="F16" s="81">
        <f t="shared" si="1"/>
        <v>100</v>
      </c>
      <c r="G16" s="45">
        <f t="shared" si="0"/>
        <v>5</v>
      </c>
    </row>
    <row r="17" spans="1:7">
      <c r="A17" s="78">
        <v>15</v>
      </c>
      <c r="B17" s="88" t="s">
        <v>13</v>
      </c>
      <c r="C17" s="89">
        <v>89</v>
      </c>
      <c r="D17" s="89">
        <v>89</v>
      </c>
      <c r="E17" s="89"/>
      <c r="F17" s="81">
        <f t="shared" si="1"/>
        <v>100</v>
      </c>
      <c r="G17" s="45">
        <f t="shared" si="0"/>
        <v>5</v>
      </c>
    </row>
    <row r="18" spans="1:7">
      <c r="A18" s="78">
        <v>16</v>
      </c>
      <c r="B18" s="88" t="s">
        <v>14</v>
      </c>
      <c r="C18" s="89">
        <v>12</v>
      </c>
      <c r="D18" s="89">
        <v>12</v>
      </c>
      <c r="E18" s="89"/>
      <c r="F18" s="81">
        <f t="shared" si="1"/>
        <v>100</v>
      </c>
      <c r="G18" s="45">
        <f t="shared" si="0"/>
        <v>5</v>
      </c>
    </row>
    <row r="19" spans="1:7">
      <c r="A19" s="78">
        <v>17</v>
      </c>
      <c r="B19" s="88" t="s">
        <v>19</v>
      </c>
      <c r="C19" s="89">
        <v>14</v>
      </c>
      <c r="D19" s="89">
        <v>14</v>
      </c>
      <c r="E19" s="89"/>
      <c r="F19" s="81">
        <f t="shared" si="1"/>
        <v>100</v>
      </c>
      <c r="G19" s="45">
        <f t="shared" si="0"/>
        <v>5</v>
      </c>
    </row>
    <row r="20" spans="1:7">
      <c r="A20" s="78">
        <v>18</v>
      </c>
      <c r="B20" s="88" t="s">
        <v>26</v>
      </c>
      <c r="C20" s="89">
        <v>252</v>
      </c>
      <c r="D20" s="89">
        <v>252</v>
      </c>
      <c r="E20" s="89"/>
      <c r="F20" s="81">
        <f t="shared" si="1"/>
        <v>100</v>
      </c>
      <c r="G20" s="45">
        <f t="shared" si="0"/>
        <v>5</v>
      </c>
    </row>
    <row r="21" spans="1:7">
      <c r="A21" s="78">
        <v>19</v>
      </c>
      <c r="B21" s="88" t="s">
        <v>7</v>
      </c>
      <c r="C21" s="89">
        <v>1023</v>
      </c>
      <c r="D21" s="89">
        <v>1023</v>
      </c>
      <c r="E21" s="89"/>
      <c r="F21" s="81">
        <f t="shared" si="1"/>
        <v>100</v>
      </c>
      <c r="G21" s="45">
        <f t="shared" si="0"/>
        <v>5</v>
      </c>
    </row>
    <row r="22" spans="1:7">
      <c r="A22" s="78">
        <v>20</v>
      </c>
      <c r="B22" s="88" t="s">
        <v>28</v>
      </c>
      <c r="C22" s="89">
        <v>14</v>
      </c>
      <c r="D22" s="89">
        <v>14</v>
      </c>
      <c r="E22" s="89"/>
      <c r="F22" s="81">
        <f t="shared" si="1"/>
        <v>100</v>
      </c>
      <c r="G22" s="45">
        <f t="shared" si="0"/>
        <v>5</v>
      </c>
    </row>
    <row r="23" spans="1:7">
      <c r="A23" s="78">
        <v>21</v>
      </c>
      <c r="B23" s="88" t="s">
        <v>12</v>
      </c>
      <c r="C23" s="89">
        <v>33</v>
      </c>
      <c r="D23" s="89">
        <v>33</v>
      </c>
      <c r="E23" s="89"/>
      <c r="F23" s="81">
        <f t="shared" si="1"/>
        <v>100</v>
      </c>
      <c r="G23" s="45">
        <f t="shared" si="0"/>
        <v>5</v>
      </c>
    </row>
    <row r="24" spans="1:7">
      <c r="A24" s="78">
        <v>22</v>
      </c>
      <c r="B24" s="88" t="s">
        <v>29</v>
      </c>
      <c r="C24" s="89">
        <v>1</v>
      </c>
      <c r="D24" s="89">
        <v>1</v>
      </c>
      <c r="E24" s="89"/>
      <c r="F24" s="81">
        <f t="shared" si="1"/>
        <v>100</v>
      </c>
      <c r="G24" s="45">
        <f t="shared" si="0"/>
        <v>5</v>
      </c>
    </row>
    <row r="25" spans="1:7">
      <c r="A25" s="78">
        <v>23</v>
      </c>
      <c r="B25" s="88" t="s">
        <v>91</v>
      </c>
      <c r="C25" s="89">
        <v>66</v>
      </c>
      <c r="D25" s="89">
        <v>66</v>
      </c>
      <c r="E25" s="89"/>
      <c r="F25" s="81">
        <f t="shared" si="1"/>
        <v>100</v>
      </c>
      <c r="G25" s="45">
        <f t="shared" si="0"/>
        <v>5</v>
      </c>
    </row>
    <row r="26" spans="1:7">
      <c r="A26" s="78">
        <v>24</v>
      </c>
      <c r="B26" s="88" t="s">
        <v>33</v>
      </c>
      <c r="C26" s="89">
        <v>4</v>
      </c>
      <c r="D26" s="89">
        <v>4</v>
      </c>
      <c r="E26" s="89"/>
      <c r="F26" s="81">
        <f t="shared" si="1"/>
        <v>100</v>
      </c>
      <c r="G26" s="45">
        <f t="shared" si="0"/>
        <v>5</v>
      </c>
    </row>
    <row r="27" spans="1:7">
      <c r="A27" s="78">
        <v>25</v>
      </c>
      <c r="B27" s="88" t="s">
        <v>9</v>
      </c>
      <c r="C27" s="89">
        <v>165</v>
      </c>
      <c r="D27" s="89">
        <v>165</v>
      </c>
      <c r="E27" s="89"/>
      <c r="F27" s="81">
        <f t="shared" si="1"/>
        <v>100</v>
      </c>
      <c r="G27" s="45">
        <f t="shared" si="0"/>
        <v>5</v>
      </c>
    </row>
    <row r="28" spans="1:7">
      <c r="A28" s="78">
        <v>26</v>
      </c>
      <c r="B28" s="88" t="s">
        <v>18</v>
      </c>
      <c r="C28" s="89">
        <v>654</v>
      </c>
      <c r="D28" s="89">
        <v>654</v>
      </c>
      <c r="E28" s="89"/>
      <c r="F28" s="81">
        <f t="shared" si="1"/>
        <v>100</v>
      </c>
      <c r="G28" s="45">
        <f t="shared" si="0"/>
        <v>5</v>
      </c>
    </row>
    <row r="29" spans="1:7">
      <c r="A29" s="78">
        <v>27</v>
      </c>
      <c r="B29" s="88" t="s">
        <v>17</v>
      </c>
      <c r="C29" s="89">
        <v>30</v>
      </c>
      <c r="D29" s="89">
        <v>30</v>
      </c>
      <c r="E29" s="89"/>
      <c r="F29" s="81">
        <f t="shared" si="1"/>
        <v>100</v>
      </c>
      <c r="G29" s="45">
        <f t="shared" si="0"/>
        <v>5</v>
      </c>
    </row>
    <row r="30" spans="1:7">
      <c r="A30" s="78">
        <v>28</v>
      </c>
      <c r="B30" s="88" t="s">
        <v>27</v>
      </c>
      <c r="C30" s="89">
        <v>27</v>
      </c>
      <c r="D30" s="89">
        <v>27</v>
      </c>
      <c r="E30" s="89"/>
      <c r="F30" s="81">
        <f t="shared" si="1"/>
        <v>100</v>
      </c>
      <c r="G30" s="45">
        <f t="shared" si="0"/>
        <v>5</v>
      </c>
    </row>
    <row r="31" s="2" customFormat="1" spans="1:7">
      <c r="A31" s="90" t="s">
        <v>75</v>
      </c>
      <c r="B31" s="90"/>
      <c r="C31" s="91">
        <f>SUM(C3:C30)</f>
        <v>3491</v>
      </c>
      <c r="D31" s="90">
        <f>SUM(D3:D30)</f>
        <v>3487</v>
      </c>
      <c r="E31" s="90">
        <f>SUM(E3:E30)</f>
        <v>4</v>
      </c>
      <c r="F31" s="81">
        <f t="shared" si="1"/>
        <v>99.8854196505299</v>
      </c>
      <c r="G31" s="92">
        <f>SUM(G3:G30)</f>
        <v>139.857536176207</v>
      </c>
    </row>
  </sheetData>
  <mergeCells count="2">
    <mergeCell ref="A1:G1"/>
    <mergeCell ref="A31:B31"/>
  </mergeCells>
  <pageMargins left="0.75" right="0.393055555555556" top="1" bottom="1" header="0.5" footer="0.5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E18" sqref="E18"/>
    </sheetView>
  </sheetViews>
  <sheetFormatPr defaultColWidth="9.14285714285714" defaultRowHeight="15"/>
  <cols>
    <col min="1" max="1" width="5.57142857142857" customWidth="1"/>
    <col min="2" max="2" width="24.5714285714286" style="68" customWidth="1"/>
    <col min="3" max="3" width="11.5904761904762" style="25" customWidth="1"/>
    <col min="4" max="4" width="10.1904761904762" style="25" customWidth="1"/>
    <col min="5" max="5" width="11.3238095238095" style="25" customWidth="1"/>
    <col min="6" max="6" width="10.9904761904762" style="25" customWidth="1"/>
    <col min="7" max="7" width="11.2571428571429" style="25" customWidth="1"/>
    <col min="8" max="9" width="10.5714285714286" style="25" customWidth="1"/>
    <col min="10" max="10" width="10.5714285714286" style="70" customWidth="1"/>
  </cols>
  <sheetData>
    <row r="1" ht="23" customHeight="1" spans="1:10">
      <c r="A1" s="71" t="s">
        <v>92</v>
      </c>
      <c r="B1" s="71"/>
      <c r="C1" s="71"/>
      <c r="D1" s="71"/>
      <c r="E1" s="71"/>
      <c r="F1" s="71"/>
      <c r="G1" s="71"/>
      <c r="H1" s="71"/>
      <c r="I1" s="71"/>
      <c r="J1" s="73"/>
    </row>
    <row r="2" s="67" customFormat="1" ht="45" spans="1:10">
      <c r="A2" s="74" t="s">
        <v>42</v>
      </c>
      <c r="B2" s="75" t="s">
        <v>93</v>
      </c>
      <c r="C2" s="75" t="s">
        <v>94</v>
      </c>
      <c r="D2" s="75" t="s">
        <v>95</v>
      </c>
      <c r="E2" s="75" t="s">
        <v>96</v>
      </c>
      <c r="F2" s="75" t="s">
        <v>97</v>
      </c>
      <c r="G2" s="75" t="s">
        <v>98</v>
      </c>
      <c r="H2" s="75" t="s">
        <v>99</v>
      </c>
      <c r="I2" s="84" t="s">
        <v>5</v>
      </c>
      <c r="J2" s="77" t="s">
        <v>6</v>
      </c>
    </row>
    <row r="3" spans="1:10">
      <c r="A3" s="78">
        <v>1</v>
      </c>
      <c r="B3" s="79" t="s">
        <v>11</v>
      </c>
      <c r="C3" s="80">
        <v>339</v>
      </c>
      <c r="D3" s="80">
        <v>333</v>
      </c>
      <c r="E3" s="80">
        <v>415</v>
      </c>
      <c r="F3" s="80">
        <v>401</v>
      </c>
      <c r="G3" s="80">
        <v>10</v>
      </c>
      <c r="H3" s="80">
        <v>4</v>
      </c>
      <c r="I3" s="85">
        <f>D3/C3*100</f>
        <v>98.2300884955752</v>
      </c>
      <c r="J3" s="45">
        <f t="shared" ref="J3:J31" si="0">I3*0.05</f>
        <v>4.91150442477876</v>
      </c>
    </row>
    <row r="4" spans="1:10">
      <c r="A4" s="78">
        <v>2</v>
      </c>
      <c r="B4" s="79" t="s">
        <v>34</v>
      </c>
      <c r="C4" s="80">
        <v>277</v>
      </c>
      <c r="D4" s="80">
        <v>254</v>
      </c>
      <c r="E4" s="80">
        <v>265</v>
      </c>
      <c r="F4" s="80">
        <v>264</v>
      </c>
      <c r="G4" s="80">
        <v>0</v>
      </c>
      <c r="H4" s="80">
        <v>1</v>
      </c>
      <c r="I4" s="85">
        <f t="shared" ref="I4:I31" si="1">D4/C4*100</f>
        <v>91.6967509025271</v>
      </c>
      <c r="J4" s="45">
        <f t="shared" si="0"/>
        <v>4.58483754512635</v>
      </c>
    </row>
    <row r="5" spans="1:10">
      <c r="A5" s="78">
        <v>3</v>
      </c>
      <c r="B5" s="79" t="s">
        <v>21</v>
      </c>
      <c r="C5" s="80">
        <v>238</v>
      </c>
      <c r="D5" s="80">
        <v>233</v>
      </c>
      <c r="E5" s="80">
        <v>309</v>
      </c>
      <c r="F5" s="80">
        <v>287</v>
      </c>
      <c r="G5" s="80">
        <v>20</v>
      </c>
      <c r="H5" s="80">
        <v>2</v>
      </c>
      <c r="I5" s="85">
        <f t="shared" si="1"/>
        <v>97.8991596638655</v>
      </c>
      <c r="J5" s="45">
        <f t="shared" si="0"/>
        <v>4.89495798319328</v>
      </c>
    </row>
    <row r="6" spans="1:10">
      <c r="A6" s="78">
        <v>4</v>
      </c>
      <c r="B6" s="79" t="s">
        <v>31</v>
      </c>
      <c r="C6" s="80">
        <v>382</v>
      </c>
      <c r="D6" s="80">
        <v>322</v>
      </c>
      <c r="E6" s="80">
        <v>348</v>
      </c>
      <c r="F6" s="80">
        <v>342</v>
      </c>
      <c r="G6" s="80">
        <v>3</v>
      </c>
      <c r="H6" s="80">
        <v>3</v>
      </c>
      <c r="I6" s="85">
        <f t="shared" si="1"/>
        <v>84.2931937172775</v>
      </c>
      <c r="J6" s="45">
        <f t="shared" si="0"/>
        <v>4.21465968586387</v>
      </c>
    </row>
    <row r="7" spans="1:10">
      <c r="A7" s="78">
        <v>5</v>
      </c>
      <c r="B7" s="79" t="s">
        <v>32</v>
      </c>
      <c r="C7" s="80">
        <v>233</v>
      </c>
      <c r="D7" s="80">
        <v>209</v>
      </c>
      <c r="E7" s="80">
        <v>189</v>
      </c>
      <c r="F7" s="80">
        <v>186</v>
      </c>
      <c r="G7" s="80">
        <v>3</v>
      </c>
      <c r="H7" s="80">
        <v>0</v>
      </c>
      <c r="I7" s="85">
        <f t="shared" si="1"/>
        <v>89.6995708154506</v>
      </c>
      <c r="J7" s="45">
        <f t="shared" si="0"/>
        <v>4.48497854077253</v>
      </c>
    </row>
    <row r="8" spans="1:10">
      <c r="A8" s="78">
        <v>6</v>
      </c>
      <c r="B8" s="79" t="s">
        <v>30</v>
      </c>
      <c r="C8" s="80">
        <v>232</v>
      </c>
      <c r="D8" s="80">
        <v>222</v>
      </c>
      <c r="E8" s="80">
        <v>218</v>
      </c>
      <c r="F8" s="80">
        <v>216</v>
      </c>
      <c r="G8" s="80">
        <v>2</v>
      </c>
      <c r="H8" s="80">
        <v>0</v>
      </c>
      <c r="I8" s="85">
        <f t="shared" si="1"/>
        <v>95.6896551724138</v>
      </c>
      <c r="J8" s="45">
        <f t="shared" si="0"/>
        <v>4.78448275862069</v>
      </c>
    </row>
    <row r="9" spans="1:10">
      <c r="A9" s="78">
        <v>7</v>
      </c>
      <c r="B9" s="79" t="s">
        <v>25</v>
      </c>
      <c r="C9" s="80">
        <v>282</v>
      </c>
      <c r="D9" s="80">
        <v>279</v>
      </c>
      <c r="E9" s="80">
        <v>327</v>
      </c>
      <c r="F9" s="80">
        <v>312</v>
      </c>
      <c r="G9" s="80">
        <v>7</v>
      </c>
      <c r="H9" s="80">
        <v>8</v>
      </c>
      <c r="I9" s="85">
        <f t="shared" si="1"/>
        <v>98.936170212766</v>
      </c>
      <c r="J9" s="45">
        <f t="shared" si="0"/>
        <v>4.9468085106383</v>
      </c>
    </row>
    <row r="10" spans="1:10">
      <c r="A10" s="78">
        <v>8</v>
      </c>
      <c r="B10" s="79" t="s">
        <v>22</v>
      </c>
      <c r="C10" s="80">
        <v>251</v>
      </c>
      <c r="D10" s="80">
        <v>184</v>
      </c>
      <c r="E10" s="80">
        <v>252</v>
      </c>
      <c r="F10" s="80">
        <v>244</v>
      </c>
      <c r="G10" s="80">
        <v>4</v>
      </c>
      <c r="H10" s="80">
        <v>4</v>
      </c>
      <c r="I10" s="85">
        <f t="shared" si="1"/>
        <v>73.3067729083665</v>
      </c>
      <c r="J10" s="45">
        <f t="shared" si="0"/>
        <v>3.66533864541833</v>
      </c>
    </row>
    <row r="11" spans="1:10">
      <c r="A11" s="78">
        <v>9</v>
      </c>
      <c r="B11" s="79" t="s">
        <v>24</v>
      </c>
      <c r="C11" s="80">
        <v>253</v>
      </c>
      <c r="D11" s="80">
        <v>177</v>
      </c>
      <c r="E11" s="80">
        <v>220</v>
      </c>
      <c r="F11" s="80">
        <v>218</v>
      </c>
      <c r="G11" s="80">
        <v>1</v>
      </c>
      <c r="H11" s="80">
        <v>1</v>
      </c>
      <c r="I11" s="85">
        <f t="shared" si="1"/>
        <v>69.9604743083004</v>
      </c>
      <c r="J11" s="45">
        <f t="shared" si="0"/>
        <v>3.49802371541502</v>
      </c>
    </row>
    <row r="12" spans="1:10">
      <c r="A12" s="78">
        <v>10</v>
      </c>
      <c r="B12" s="79" t="s">
        <v>20</v>
      </c>
      <c r="C12" s="80">
        <v>378</v>
      </c>
      <c r="D12" s="80">
        <v>377</v>
      </c>
      <c r="E12" s="80">
        <v>785</v>
      </c>
      <c r="F12" s="80">
        <v>781</v>
      </c>
      <c r="G12" s="80">
        <v>0</v>
      </c>
      <c r="H12" s="80">
        <v>4</v>
      </c>
      <c r="I12" s="85">
        <f t="shared" si="1"/>
        <v>99.7354497354497</v>
      </c>
      <c r="J12" s="45">
        <f t="shared" si="0"/>
        <v>4.98677248677249</v>
      </c>
    </row>
    <row r="13" spans="1:10">
      <c r="A13" s="78">
        <v>11</v>
      </c>
      <c r="B13" s="79" t="s">
        <v>10</v>
      </c>
      <c r="C13" s="80">
        <v>440</v>
      </c>
      <c r="D13" s="80">
        <v>439</v>
      </c>
      <c r="E13" s="80">
        <v>408</v>
      </c>
      <c r="F13" s="80">
        <v>399</v>
      </c>
      <c r="G13" s="80">
        <v>6</v>
      </c>
      <c r="H13" s="80">
        <v>3</v>
      </c>
      <c r="I13" s="85">
        <f t="shared" si="1"/>
        <v>99.7727272727273</v>
      </c>
      <c r="J13" s="45">
        <f t="shared" si="0"/>
        <v>4.98863636363636</v>
      </c>
    </row>
    <row r="14" spans="1:10">
      <c r="A14" s="78">
        <v>12</v>
      </c>
      <c r="B14" s="79" t="s">
        <v>8</v>
      </c>
      <c r="C14" s="80">
        <v>657</v>
      </c>
      <c r="D14" s="80">
        <v>654</v>
      </c>
      <c r="E14" s="80">
        <v>395</v>
      </c>
      <c r="F14" s="80">
        <v>379</v>
      </c>
      <c r="G14" s="80">
        <v>6</v>
      </c>
      <c r="H14" s="80">
        <v>10</v>
      </c>
      <c r="I14" s="85">
        <f t="shared" si="1"/>
        <v>99.5433789954338</v>
      </c>
      <c r="J14" s="45">
        <f t="shared" si="0"/>
        <v>4.97716894977169</v>
      </c>
    </row>
    <row r="15" spans="1:10">
      <c r="A15" s="78">
        <v>13</v>
      </c>
      <c r="B15" s="79" t="s">
        <v>16</v>
      </c>
      <c r="C15" s="80">
        <v>343</v>
      </c>
      <c r="D15" s="80">
        <v>239</v>
      </c>
      <c r="E15" s="80">
        <v>249</v>
      </c>
      <c r="F15" s="80">
        <v>246</v>
      </c>
      <c r="G15" s="80">
        <v>1</v>
      </c>
      <c r="H15" s="80">
        <v>2</v>
      </c>
      <c r="I15" s="85">
        <f t="shared" si="1"/>
        <v>69.6793002915452</v>
      </c>
      <c r="J15" s="45">
        <f t="shared" si="0"/>
        <v>3.48396501457726</v>
      </c>
    </row>
    <row r="16" spans="1:10">
      <c r="A16" s="78">
        <v>14</v>
      </c>
      <c r="B16" s="79" t="s">
        <v>15</v>
      </c>
      <c r="C16" s="80">
        <v>246</v>
      </c>
      <c r="D16" s="80">
        <v>240</v>
      </c>
      <c r="E16" s="80">
        <v>258</v>
      </c>
      <c r="F16" s="80">
        <v>250</v>
      </c>
      <c r="G16" s="80">
        <v>4</v>
      </c>
      <c r="H16" s="80">
        <v>4</v>
      </c>
      <c r="I16" s="85">
        <f t="shared" si="1"/>
        <v>97.5609756097561</v>
      </c>
      <c r="J16" s="45">
        <f t="shared" si="0"/>
        <v>4.87804878048781</v>
      </c>
    </row>
    <row r="17" spans="1:10">
      <c r="A17" s="78">
        <v>15</v>
      </c>
      <c r="B17" s="79" t="s">
        <v>13</v>
      </c>
      <c r="C17" s="80">
        <v>235</v>
      </c>
      <c r="D17" s="80">
        <v>235</v>
      </c>
      <c r="E17" s="80">
        <v>261</v>
      </c>
      <c r="F17" s="80">
        <v>253</v>
      </c>
      <c r="G17" s="80">
        <v>5</v>
      </c>
      <c r="H17" s="80">
        <v>3</v>
      </c>
      <c r="I17" s="85">
        <f t="shared" si="1"/>
        <v>100</v>
      </c>
      <c r="J17" s="45">
        <f t="shared" si="0"/>
        <v>5</v>
      </c>
    </row>
    <row r="18" spans="1:10">
      <c r="A18" s="78">
        <v>16</v>
      </c>
      <c r="B18" s="79" t="s">
        <v>14</v>
      </c>
      <c r="C18" s="80">
        <v>164</v>
      </c>
      <c r="D18" s="80">
        <v>106</v>
      </c>
      <c r="E18" s="80">
        <v>117</v>
      </c>
      <c r="F18" s="80">
        <v>111</v>
      </c>
      <c r="G18" s="80">
        <v>6</v>
      </c>
      <c r="H18" s="80">
        <v>0</v>
      </c>
      <c r="I18" s="85">
        <f t="shared" si="1"/>
        <v>64.6341463414634</v>
      </c>
      <c r="J18" s="45">
        <f t="shared" si="0"/>
        <v>3.23170731707317</v>
      </c>
    </row>
    <row r="19" spans="1:10">
      <c r="A19" s="78">
        <v>17</v>
      </c>
      <c r="B19" s="79" t="s">
        <v>19</v>
      </c>
      <c r="C19" s="80">
        <v>182</v>
      </c>
      <c r="D19" s="80">
        <v>156</v>
      </c>
      <c r="E19" s="80">
        <v>202</v>
      </c>
      <c r="F19" s="80">
        <v>198</v>
      </c>
      <c r="G19" s="80">
        <v>3</v>
      </c>
      <c r="H19" s="80">
        <v>1</v>
      </c>
      <c r="I19" s="85">
        <f t="shared" si="1"/>
        <v>85.7142857142857</v>
      </c>
      <c r="J19" s="45">
        <f t="shared" si="0"/>
        <v>4.28571428571429</v>
      </c>
    </row>
    <row r="20" spans="1:10">
      <c r="A20" s="78">
        <v>18</v>
      </c>
      <c r="B20" s="79" t="s">
        <v>26</v>
      </c>
      <c r="C20" s="80">
        <v>615</v>
      </c>
      <c r="D20" s="80">
        <v>393</v>
      </c>
      <c r="E20" s="80">
        <v>354</v>
      </c>
      <c r="F20" s="80">
        <v>346</v>
      </c>
      <c r="G20" s="80">
        <v>4</v>
      </c>
      <c r="H20" s="80">
        <v>4</v>
      </c>
      <c r="I20" s="85">
        <f t="shared" si="1"/>
        <v>63.9024390243902</v>
      </c>
      <c r="J20" s="45">
        <f t="shared" si="0"/>
        <v>3.19512195121951</v>
      </c>
    </row>
    <row r="21" spans="1:10">
      <c r="A21" s="78">
        <v>19</v>
      </c>
      <c r="B21" s="79" t="s">
        <v>7</v>
      </c>
      <c r="C21" s="80">
        <v>659</v>
      </c>
      <c r="D21" s="80">
        <v>395</v>
      </c>
      <c r="E21" s="80">
        <v>372</v>
      </c>
      <c r="F21" s="80">
        <v>357</v>
      </c>
      <c r="G21" s="80">
        <v>11</v>
      </c>
      <c r="H21" s="80">
        <v>4</v>
      </c>
      <c r="I21" s="85">
        <f t="shared" si="1"/>
        <v>59.9393019726859</v>
      </c>
      <c r="J21" s="45">
        <f t="shared" si="0"/>
        <v>2.99696509863429</v>
      </c>
    </row>
    <row r="22" spans="1:10">
      <c r="A22" s="78">
        <v>20</v>
      </c>
      <c r="B22" s="79" t="s">
        <v>28</v>
      </c>
      <c r="C22" s="80">
        <v>329</v>
      </c>
      <c r="D22" s="80">
        <v>264</v>
      </c>
      <c r="E22" s="80">
        <v>267</v>
      </c>
      <c r="F22" s="80">
        <v>259</v>
      </c>
      <c r="G22" s="80">
        <v>4</v>
      </c>
      <c r="H22" s="80">
        <v>4</v>
      </c>
      <c r="I22" s="85">
        <f t="shared" si="1"/>
        <v>80.2431610942249</v>
      </c>
      <c r="J22" s="45">
        <f t="shared" si="0"/>
        <v>4.01215805471125</v>
      </c>
    </row>
    <row r="23" spans="1:10">
      <c r="A23" s="78">
        <v>21</v>
      </c>
      <c r="B23" s="79" t="s">
        <v>12</v>
      </c>
      <c r="C23" s="80">
        <v>238</v>
      </c>
      <c r="D23" s="80">
        <v>238</v>
      </c>
      <c r="E23" s="80">
        <v>248</v>
      </c>
      <c r="F23" s="80">
        <v>243</v>
      </c>
      <c r="G23" s="80">
        <v>0</v>
      </c>
      <c r="H23" s="80">
        <v>5</v>
      </c>
      <c r="I23" s="85">
        <f t="shared" si="1"/>
        <v>100</v>
      </c>
      <c r="J23" s="45">
        <f t="shared" si="0"/>
        <v>5</v>
      </c>
    </row>
    <row r="24" spans="1:10">
      <c r="A24" s="78">
        <v>22</v>
      </c>
      <c r="B24" s="79" t="s">
        <v>29</v>
      </c>
      <c r="C24" s="80">
        <v>711</v>
      </c>
      <c r="D24" s="80">
        <v>708</v>
      </c>
      <c r="E24" s="80">
        <v>777</v>
      </c>
      <c r="F24" s="80">
        <v>772</v>
      </c>
      <c r="G24" s="80">
        <v>4</v>
      </c>
      <c r="H24" s="80">
        <v>1</v>
      </c>
      <c r="I24" s="85">
        <f t="shared" si="1"/>
        <v>99.57805907173</v>
      </c>
      <c r="J24" s="45">
        <f t="shared" si="0"/>
        <v>4.9789029535865</v>
      </c>
    </row>
    <row r="25" spans="1:10">
      <c r="A25" s="78">
        <v>23</v>
      </c>
      <c r="B25" s="79" t="s">
        <v>23</v>
      </c>
      <c r="C25" s="80">
        <v>1333</v>
      </c>
      <c r="D25" s="80">
        <v>1218</v>
      </c>
      <c r="E25" s="80">
        <v>1298</v>
      </c>
      <c r="F25" s="80">
        <v>1288</v>
      </c>
      <c r="G25" s="80">
        <v>5</v>
      </c>
      <c r="H25" s="80">
        <v>5</v>
      </c>
      <c r="I25" s="85">
        <f t="shared" si="1"/>
        <v>91.3728432108027</v>
      </c>
      <c r="J25" s="45">
        <f t="shared" si="0"/>
        <v>4.56864216054014</v>
      </c>
    </row>
    <row r="26" spans="1:10">
      <c r="A26" s="78">
        <v>24</v>
      </c>
      <c r="B26" s="79" t="s">
        <v>33</v>
      </c>
      <c r="C26" s="80">
        <v>335</v>
      </c>
      <c r="D26" s="80">
        <v>335</v>
      </c>
      <c r="E26" s="80">
        <v>353</v>
      </c>
      <c r="F26" s="80">
        <v>343</v>
      </c>
      <c r="G26" s="80">
        <v>0</v>
      </c>
      <c r="H26" s="80">
        <v>10</v>
      </c>
      <c r="I26" s="85">
        <f t="shared" si="1"/>
        <v>100</v>
      </c>
      <c r="J26" s="45">
        <f t="shared" si="0"/>
        <v>5</v>
      </c>
    </row>
    <row r="27" spans="1:10">
      <c r="A27" s="78">
        <v>25</v>
      </c>
      <c r="B27" s="79" t="s">
        <v>9</v>
      </c>
      <c r="C27" s="80">
        <v>174</v>
      </c>
      <c r="D27" s="80">
        <v>97</v>
      </c>
      <c r="E27" s="80">
        <v>238</v>
      </c>
      <c r="F27" s="80">
        <v>226</v>
      </c>
      <c r="G27" s="80">
        <v>9</v>
      </c>
      <c r="H27" s="80">
        <v>3</v>
      </c>
      <c r="I27" s="85">
        <f t="shared" si="1"/>
        <v>55.7471264367816</v>
      </c>
      <c r="J27" s="45">
        <f t="shared" si="0"/>
        <v>2.78735632183908</v>
      </c>
    </row>
    <row r="28" spans="1:10">
      <c r="A28" s="78">
        <v>26</v>
      </c>
      <c r="B28" s="79" t="s">
        <v>18</v>
      </c>
      <c r="C28" s="80">
        <v>209</v>
      </c>
      <c r="D28" s="80">
        <v>203</v>
      </c>
      <c r="E28" s="80">
        <v>284</v>
      </c>
      <c r="F28" s="80">
        <v>280</v>
      </c>
      <c r="G28" s="80">
        <v>4</v>
      </c>
      <c r="H28" s="80">
        <v>0</v>
      </c>
      <c r="I28" s="85">
        <f t="shared" si="1"/>
        <v>97.1291866028708</v>
      </c>
      <c r="J28" s="45">
        <f t="shared" si="0"/>
        <v>4.85645933014354</v>
      </c>
    </row>
    <row r="29" spans="1:10">
      <c r="A29" s="78">
        <v>27</v>
      </c>
      <c r="B29" s="79" t="s">
        <v>17</v>
      </c>
      <c r="C29" s="80">
        <v>164</v>
      </c>
      <c r="D29" s="80">
        <v>135</v>
      </c>
      <c r="E29" s="80">
        <v>141</v>
      </c>
      <c r="F29" s="80">
        <v>140</v>
      </c>
      <c r="G29" s="80">
        <v>0</v>
      </c>
      <c r="H29" s="80">
        <v>1</v>
      </c>
      <c r="I29" s="85">
        <f t="shared" si="1"/>
        <v>82.3170731707317</v>
      </c>
      <c r="J29" s="45">
        <f t="shared" si="0"/>
        <v>4.11585365853659</v>
      </c>
    </row>
    <row r="30" spans="1:10">
      <c r="A30" s="78">
        <v>28</v>
      </c>
      <c r="B30" s="79" t="s">
        <v>27</v>
      </c>
      <c r="C30" s="80">
        <v>284</v>
      </c>
      <c r="D30" s="80">
        <v>280</v>
      </c>
      <c r="E30" s="80">
        <v>230</v>
      </c>
      <c r="F30" s="80">
        <v>213</v>
      </c>
      <c r="G30" s="80">
        <v>14</v>
      </c>
      <c r="H30" s="80">
        <v>3</v>
      </c>
      <c r="I30" s="85">
        <f t="shared" si="1"/>
        <v>98.5915492957747</v>
      </c>
      <c r="J30" s="45">
        <f t="shared" si="0"/>
        <v>4.92957746478873</v>
      </c>
    </row>
    <row r="31" s="2" customFormat="1" spans="1:10">
      <c r="A31" s="82" t="s">
        <v>75</v>
      </c>
      <c r="B31" s="83"/>
      <c r="C31" s="75">
        <v>10223</v>
      </c>
      <c r="D31" s="75">
        <v>8921</v>
      </c>
      <c r="E31" s="75">
        <v>10175</v>
      </c>
      <c r="F31" s="75">
        <v>9939</v>
      </c>
      <c r="G31" s="75">
        <v>141</v>
      </c>
      <c r="H31" s="75">
        <v>95</v>
      </c>
      <c r="I31" s="85">
        <f t="shared" si="1"/>
        <v>87.2640125207865</v>
      </c>
      <c r="J31" s="45">
        <f t="shared" si="0"/>
        <v>4.36320062603932</v>
      </c>
    </row>
  </sheetData>
  <mergeCells count="2">
    <mergeCell ref="A1:J1"/>
    <mergeCell ref="A31:B31"/>
  </mergeCells>
  <pageMargins left="0.75" right="0.275" top="0.590277777777778" bottom="0.708333333333333" header="0.354166666666667" footer="0.5"/>
  <pageSetup paperSize="1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L2" sqref="L2"/>
    </sheetView>
  </sheetViews>
  <sheetFormatPr defaultColWidth="9.14285714285714" defaultRowHeight="15"/>
  <cols>
    <col min="1" max="1" width="5.57142857142857" customWidth="1"/>
    <col min="2" max="2" width="22.8571428571429" style="68" customWidth="1"/>
    <col min="3" max="3" width="5.42857142857143" style="25" customWidth="1"/>
    <col min="4" max="4" width="8" style="25" customWidth="1"/>
    <col min="5" max="5" width="10.4285714285714" style="25" customWidth="1"/>
    <col min="6" max="6" width="9.62857142857143" style="25" customWidth="1"/>
    <col min="7" max="7" width="10.7904761904762" style="25" customWidth="1"/>
    <col min="8" max="8" width="6.57142857142857" style="25" customWidth="1"/>
    <col min="9" max="9" width="10.4285714285714" style="25" customWidth="1"/>
    <col min="10" max="10" width="9.46666666666667" style="25" customWidth="1"/>
    <col min="11" max="11" width="9.42857142857143" style="25" customWidth="1"/>
    <col min="12" max="12" width="8.71428571428571" style="69" customWidth="1"/>
    <col min="13" max="13" width="8.85714285714286" style="70" customWidth="1"/>
  </cols>
  <sheetData>
    <row r="1" ht="23" customHeight="1" spans="1:13">
      <c r="A1" s="71" t="s">
        <v>100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2"/>
      <c r="M1" s="73"/>
    </row>
    <row r="2" s="67" customFormat="1" ht="75" spans="1:13">
      <c r="A2" s="74" t="s">
        <v>42</v>
      </c>
      <c r="B2" s="75" t="s">
        <v>93</v>
      </c>
      <c r="C2" s="75" t="s">
        <v>44</v>
      </c>
      <c r="D2" s="75" t="s">
        <v>101</v>
      </c>
      <c r="E2" s="75" t="s">
        <v>102</v>
      </c>
      <c r="F2" s="75" t="s">
        <v>103</v>
      </c>
      <c r="G2" s="75" t="s">
        <v>104</v>
      </c>
      <c r="H2" s="75" t="s">
        <v>105</v>
      </c>
      <c r="I2" s="75" t="s">
        <v>106</v>
      </c>
      <c r="J2" s="75" t="s">
        <v>107</v>
      </c>
      <c r="K2" s="75" t="s">
        <v>108</v>
      </c>
      <c r="L2" s="76" t="s">
        <v>5</v>
      </c>
      <c r="M2" s="77" t="s">
        <v>6</v>
      </c>
    </row>
    <row r="3" spans="1:13">
      <c r="A3" s="78">
        <v>1</v>
      </c>
      <c r="B3" s="79" t="s">
        <v>11</v>
      </c>
      <c r="C3" s="74">
        <v>9</v>
      </c>
      <c r="D3" s="80">
        <v>95</v>
      </c>
      <c r="E3" s="80">
        <v>0</v>
      </c>
      <c r="F3" s="80">
        <v>0</v>
      </c>
      <c r="G3" s="80">
        <v>0</v>
      </c>
      <c r="H3" s="80">
        <v>0</v>
      </c>
      <c r="I3" s="80">
        <v>0</v>
      </c>
      <c r="J3" s="80">
        <v>0</v>
      </c>
      <c r="K3" s="80">
        <v>95</v>
      </c>
      <c r="L3" s="81">
        <f>IF(K3&lt;C3,(K3/C3*100),100)</f>
        <v>100</v>
      </c>
      <c r="M3" s="45">
        <f t="shared" ref="M3:M31" si="0">L3*0.05</f>
        <v>5</v>
      </c>
    </row>
    <row r="4" spans="1:13">
      <c r="A4" s="78">
        <v>2</v>
      </c>
      <c r="B4" s="79" t="s">
        <v>34</v>
      </c>
      <c r="C4" s="74">
        <v>4</v>
      </c>
      <c r="D4" s="80">
        <v>103</v>
      </c>
      <c r="E4" s="80">
        <v>0</v>
      </c>
      <c r="F4" s="80">
        <v>0</v>
      </c>
      <c r="G4" s="80">
        <v>0</v>
      </c>
      <c r="H4" s="80">
        <v>0</v>
      </c>
      <c r="I4" s="80">
        <v>0</v>
      </c>
      <c r="J4" s="80">
        <v>0</v>
      </c>
      <c r="K4" s="80">
        <v>103</v>
      </c>
      <c r="L4" s="81">
        <f t="shared" ref="L4:L31" si="1">IF(K4&lt;C4,(K4/C4*100),100)</f>
        <v>100</v>
      </c>
      <c r="M4" s="45">
        <f t="shared" si="0"/>
        <v>5</v>
      </c>
    </row>
    <row r="5" spans="1:13">
      <c r="A5" s="78">
        <v>3</v>
      </c>
      <c r="B5" s="79" t="s">
        <v>21</v>
      </c>
      <c r="C5" s="74">
        <v>3</v>
      </c>
      <c r="D5" s="80">
        <v>0</v>
      </c>
      <c r="E5" s="80">
        <v>0</v>
      </c>
      <c r="F5" s="80">
        <v>0</v>
      </c>
      <c r="G5" s="80">
        <v>0</v>
      </c>
      <c r="H5" s="80">
        <v>0</v>
      </c>
      <c r="I5" s="80">
        <v>0</v>
      </c>
      <c r="J5" s="80">
        <v>168</v>
      </c>
      <c r="K5" s="80">
        <v>168</v>
      </c>
      <c r="L5" s="81">
        <f t="shared" si="1"/>
        <v>100</v>
      </c>
      <c r="M5" s="45">
        <f t="shared" si="0"/>
        <v>5</v>
      </c>
    </row>
    <row r="6" spans="1:13">
      <c r="A6" s="78">
        <v>4</v>
      </c>
      <c r="B6" s="79" t="s">
        <v>31</v>
      </c>
      <c r="C6" s="74">
        <v>4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  <c r="I6" s="80">
        <v>0</v>
      </c>
      <c r="J6" s="80">
        <v>374</v>
      </c>
      <c r="K6" s="80">
        <v>374</v>
      </c>
      <c r="L6" s="81">
        <f t="shared" si="1"/>
        <v>100</v>
      </c>
      <c r="M6" s="45">
        <f t="shared" si="0"/>
        <v>5</v>
      </c>
    </row>
    <row r="7" spans="1:13">
      <c r="A7" s="78">
        <v>5</v>
      </c>
      <c r="B7" s="79" t="s">
        <v>32</v>
      </c>
      <c r="C7" s="74">
        <v>1</v>
      </c>
      <c r="D7" s="80">
        <v>0</v>
      </c>
      <c r="E7" s="80">
        <v>0</v>
      </c>
      <c r="F7" s="80">
        <v>0</v>
      </c>
      <c r="G7" s="80">
        <v>0</v>
      </c>
      <c r="H7" s="80">
        <v>0</v>
      </c>
      <c r="I7" s="80">
        <v>0</v>
      </c>
      <c r="J7" s="80">
        <v>84</v>
      </c>
      <c r="K7" s="80">
        <v>84</v>
      </c>
      <c r="L7" s="81">
        <f t="shared" si="1"/>
        <v>100</v>
      </c>
      <c r="M7" s="45">
        <f t="shared" si="0"/>
        <v>5</v>
      </c>
    </row>
    <row r="8" spans="1:13">
      <c r="A8" s="78">
        <v>6</v>
      </c>
      <c r="B8" s="79" t="s">
        <v>30</v>
      </c>
      <c r="C8" s="74">
        <v>4</v>
      </c>
      <c r="D8" s="80">
        <v>88</v>
      </c>
      <c r="E8" s="80">
        <v>0</v>
      </c>
      <c r="F8" s="80">
        <v>0</v>
      </c>
      <c r="G8" s="80">
        <v>0</v>
      </c>
      <c r="H8" s="80">
        <v>0</v>
      </c>
      <c r="I8" s="80">
        <v>0</v>
      </c>
      <c r="J8" s="80">
        <v>0</v>
      </c>
      <c r="K8" s="80">
        <v>88</v>
      </c>
      <c r="L8" s="81">
        <f t="shared" si="1"/>
        <v>100</v>
      </c>
      <c r="M8" s="45">
        <f t="shared" si="0"/>
        <v>5</v>
      </c>
    </row>
    <row r="9" spans="1:13">
      <c r="A9" s="78">
        <v>7</v>
      </c>
      <c r="B9" s="79" t="s">
        <v>25</v>
      </c>
      <c r="C9" s="74">
        <v>6</v>
      </c>
      <c r="D9" s="80">
        <v>0</v>
      </c>
      <c r="E9" s="80">
        <v>0</v>
      </c>
      <c r="F9" s="80">
        <v>0</v>
      </c>
      <c r="G9" s="80">
        <v>0</v>
      </c>
      <c r="H9" s="80">
        <v>0</v>
      </c>
      <c r="I9" s="80">
        <v>0</v>
      </c>
      <c r="J9" s="80">
        <v>69</v>
      </c>
      <c r="K9" s="80">
        <v>69</v>
      </c>
      <c r="L9" s="81">
        <f t="shared" si="1"/>
        <v>100</v>
      </c>
      <c r="M9" s="45">
        <f t="shared" si="0"/>
        <v>5</v>
      </c>
    </row>
    <row r="10" spans="1:13">
      <c r="A10" s="78">
        <v>8</v>
      </c>
      <c r="B10" s="79" t="s">
        <v>22</v>
      </c>
      <c r="C10" s="74">
        <v>6</v>
      </c>
      <c r="D10" s="80">
        <v>157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157</v>
      </c>
      <c r="L10" s="81">
        <f t="shared" si="1"/>
        <v>100</v>
      </c>
      <c r="M10" s="45">
        <f t="shared" si="0"/>
        <v>5</v>
      </c>
    </row>
    <row r="11" spans="1:13">
      <c r="A11" s="78">
        <v>9</v>
      </c>
      <c r="B11" s="79" t="s">
        <v>24</v>
      </c>
      <c r="C11" s="74">
        <v>3</v>
      </c>
      <c r="D11" s="80">
        <v>69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2</v>
      </c>
      <c r="K11" s="80">
        <v>71</v>
      </c>
      <c r="L11" s="81">
        <f t="shared" si="1"/>
        <v>100</v>
      </c>
      <c r="M11" s="45">
        <f t="shared" si="0"/>
        <v>5</v>
      </c>
    </row>
    <row r="12" spans="1:13">
      <c r="A12" s="78">
        <v>10</v>
      </c>
      <c r="B12" s="79" t="s">
        <v>20</v>
      </c>
      <c r="C12" s="74">
        <v>2</v>
      </c>
      <c r="D12" s="80">
        <v>0</v>
      </c>
      <c r="E12" s="80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>
        <v>0</v>
      </c>
      <c r="L12" s="81">
        <f t="shared" si="1"/>
        <v>0</v>
      </c>
      <c r="M12" s="45">
        <f t="shared" si="0"/>
        <v>0</v>
      </c>
    </row>
    <row r="13" spans="1:13">
      <c r="A13" s="78">
        <v>11</v>
      </c>
      <c r="B13" s="79" t="s">
        <v>10</v>
      </c>
      <c r="C13" s="74">
        <v>4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1">
        <f t="shared" si="1"/>
        <v>0</v>
      </c>
      <c r="M13" s="45">
        <f t="shared" si="0"/>
        <v>0</v>
      </c>
    </row>
    <row r="14" spans="1:13">
      <c r="A14" s="78">
        <v>12</v>
      </c>
      <c r="B14" s="79" t="s">
        <v>8</v>
      </c>
      <c r="C14" s="74">
        <v>3</v>
      </c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1">
        <f t="shared" si="1"/>
        <v>0</v>
      </c>
      <c r="M14" s="45">
        <f t="shared" si="0"/>
        <v>0</v>
      </c>
    </row>
    <row r="15" spans="1:13">
      <c r="A15" s="78">
        <v>13</v>
      </c>
      <c r="B15" s="79" t="s">
        <v>16</v>
      </c>
      <c r="C15" s="74">
        <v>4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153</v>
      </c>
      <c r="K15" s="80">
        <v>153</v>
      </c>
      <c r="L15" s="81">
        <f t="shared" si="1"/>
        <v>100</v>
      </c>
      <c r="M15" s="45">
        <f t="shared" si="0"/>
        <v>5</v>
      </c>
    </row>
    <row r="16" spans="1:13">
      <c r="A16" s="78">
        <v>14</v>
      </c>
      <c r="B16" s="79" t="s">
        <v>15</v>
      </c>
      <c r="C16" s="74">
        <v>2</v>
      </c>
      <c r="D16" s="80">
        <v>0</v>
      </c>
      <c r="E16" s="80">
        <v>0</v>
      </c>
      <c r="F16" s="80">
        <v>0</v>
      </c>
      <c r="G16" s="80">
        <v>0</v>
      </c>
      <c r="H16" s="80">
        <v>0</v>
      </c>
      <c r="I16" s="80">
        <v>0</v>
      </c>
      <c r="J16" s="80">
        <v>166</v>
      </c>
      <c r="K16" s="80">
        <v>166</v>
      </c>
      <c r="L16" s="81">
        <f t="shared" si="1"/>
        <v>100</v>
      </c>
      <c r="M16" s="45">
        <f t="shared" si="0"/>
        <v>5</v>
      </c>
    </row>
    <row r="17" spans="1:13">
      <c r="A17" s="78">
        <v>15</v>
      </c>
      <c r="B17" s="79" t="s">
        <v>13</v>
      </c>
      <c r="C17" s="74">
        <v>2</v>
      </c>
      <c r="D17" s="80">
        <v>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205</v>
      </c>
      <c r="K17" s="80">
        <v>205</v>
      </c>
      <c r="L17" s="81">
        <f t="shared" si="1"/>
        <v>100</v>
      </c>
      <c r="M17" s="45">
        <f t="shared" si="0"/>
        <v>5</v>
      </c>
    </row>
    <row r="18" spans="1:13">
      <c r="A18" s="78">
        <v>16</v>
      </c>
      <c r="B18" s="79" t="s">
        <v>14</v>
      </c>
      <c r="C18" s="74">
        <v>0</v>
      </c>
      <c r="D18" s="80">
        <v>165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165</v>
      </c>
      <c r="L18" s="81">
        <f t="shared" si="1"/>
        <v>100</v>
      </c>
      <c r="M18" s="45">
        <f t="shared" si="0"/>
        <v>5</v>
      </c>
    </row>
    <row r="19" spans="1:13">
      <c r="A19" s="78">
        <v>17</v>
      </c>
      <c r="B19" s="79" t="s">
        <v>19</v>
      </c>
      <c r="C19" s="74">
        <v>1</v>
      </c>
      <c r="D19" s="80">
        <v>0</v>
      </c>
      <c r="E19" s="80">
        <v>0</v>
      </c>
      <c r="F19" s="80">
        <v>0</v>
      </c>
      <c r="G19" s="80">
        <v>0</v>
      </c>
      <c r="H19" s="80">
        <v>0</v>
      </c>
      <c r="I19" s="80">
        <v>0</v>
      </c>
      <c r="J19" s="80">
        <v>137</v>
      </c>
      <c r="K19" s="80">
        <v>137</v>
      </c>
      <c r="L19" s="81">
        <f t="shared" si="1"/>
        <v>100</v>
      </c>
      <c r="M19" s="45">
        <f t="shared" si="0"/>
        <v>5</v>
      </c>
    </row>
    <row r="20" spans="1:13">
      <c r="A20" s="78">
        <v>18</v>
      </c>
      <c r="B20" s="79" t="s">
        <v>26</v>
      </c>
      <c r="C20" s="74">
        <v>7</v>
      </c>
      <c r="D20" s="80">
        <v>196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196</v>
      </c>
      <c r="L20" s="81">
        <f t="shared" si="1"/>
        <v>100</v>
      </c>
      <c r="M20" s="45">
        <f t="shared" si="0"/>
        <v>5</v>
      </c>
    </row>
    <row r="21" spans="1:13">
      <c r="A21" s="78">
        <v>19</v>
      </c>
      <c r="B21" s="79" t="s">
        <v>7</v>
      </c>
      <c r="C21" s="74">
        <v>10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456</v>
      </c>
      <c r="K21" s="80">
        <v>456</v>
      </c>
      <c r="L21" s="81">
        <f t="shared" si="1"/>
        <v>100</v>
      </c>
      <c r="M21" s="45">
        <f t="shared" si="0"/>
        <v>5</v>
      </c>
    </row>
    <row r="22" spans="1:13">
      <c r="A22" s="78">
        <v>20</v>
      </c>
      <c r="B22" s="79" t="s">
        <v>28</v>
      </c>
      <c r="C22" s="74">
        <v>1</v>
      </c>
      <c r="D22" s="80">
        <v>620</v>
      </c>
      <c r="E22" s="80">
        <v>0</v>
      </c>
      <c r="F22" s="80">
        <v>0</v>
      </c>
      <c r="G22" s="80">
        <v>0</v>
      </c>
      <c r="H22" s="80">
        <v>0</v>
      </c>
      <c r="I22" s="80">
        <v>0</v>
      </c>
      <c r="J22" s="80">
        <v>0</v>
      </c>
      <c r="K22" s="80">
        <v>620</v>
      </c>
      <c r="L22" s="81">
        <f t="shared" si="1"/>
        <v>100</v>
      </c>
      <c r="M22" s="45">
        <f t="shared" si="0"/>
        <v>5</v>
      </c>
    </row>
    <row r="23" spans="1:13">
      <c r="A23" s="78">
        <v>21</v>
      </c>
      <c r="B23" s="79" t="s">
        <v>12</v>
      </c>
      <c r="C23" s="74">
        <v>1</v>
      </c>
      <c r="D23" s="80">
        <v>0</v>
      </c>
      <c r="E23" s="80">
        <v>0</v>
      </c>
      <c r="F23" s="80">
        <v>0</v>
      </c>
      <c r="G23" s="80">
        <v>0</v>
      </c>
      <c r="H23" s="80">
        <v>0</v>
      </c>
      <c r="I23" s="80">
        <v>0</v>
      </c>
      <c r="J23" s="80">
        <v>177</v>
      </c>
      <c r="K23" s="80">
        <v>177</v>
      </c>
      <c r="L23" s="81">
        <f t="shared" si="1"/>
        <v>100</v>
      </c>
      <c r="M23" s="45">
        <f t="shared" si="0"/>
        <v>5</v>
      </c>
    </row>
    <row r="24" spans="1:13">
      <c r="A24" s="78">
        <v>22</v>
      </c>
      <c r="B24" s="79" t="s">
        <v>29</v>
      </c>
      <c r="C24" s="74">
        <v>8</v>
      </c>
      <c r="D24" s="80">
        <v>247</v>
      </c>
      <c r="E24" s="80">
        <v>0</v>
      </c>
      <c r="F24" s="80">
        <v>0</v>
      </c>
      <c r="G24" s="80">
        <v>0</v>
      </c>
      <c r="H24" s="80">
        <v>0</v>
      </c>
      <c r="I24" s="80">
        <v>0</v>
      </c>
      <c r="J24" s="80">
        <v>0</v>
      </c>
      <c r="K24" s="80">
        <v>247</v>
      </c>
      <c r="L24" s="81">
        <f t="shared" si="1"/>
        <v>100</v>
      </c>
      <c r="M24" s="45">
        <f t="shared" si="0"/>
        <v>5</v>
      </c>
    </row>
    <row r="25" spans="1:13">
      <c r="A25" s="78">
        <v>23</v>
      </c>
      <c r="B25" s="79" t="s">
        <v>23</v>
      </c>
      <c r="C25" s="74">
        <v>15</v>
      </c>
      <c r="D25" s="80">
        <v>890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890</v>
      </c>
      <c r="L25" s="81">
        <f t="shared" si="1"/>
        <v>100</v>
      </c>
      <c r="M25" s="45">
        <f t="shared" si="0"/>
        <v>5</v>
      </c>
    </row>
    <row r="26" spans="1:13">
      <c r="A26" s="78">
        <v>24</v>
      </c>
      <c r="B26" s="79" t="s">
        <v>33</v>
      </c>
      <c r="C26" s="74">
        <v>0</v>
      </c>
      <c r="D26" s="80">
        <v>0</v>
      </c>
      <c r="E26" s="80">
        <v>0</v>
      </c>
      <c r="F26" s="80">
        <v>0</v>
      </c>
      <c r="G26" s="80">
        <v>0</v>
      </c>
      <c r="H26" s="80">
        <v>0</v>
      </c>
      <c r="I26" s="80">
        <v>0</v>
      </c>
      <c r="J26" s="80">
        <v>177</v>
      </c>
      <c r="K26" s="80">
        <v>177</v>
      </c>
      <c r="L26" s="81">
        <f t="shared" si="1"/>
        <v>100</v>
      </c>
      <c r="M26" s="45">
        <f t="shared" si="0"/>
        <v>5</v>
      </c>
    </row>
    <row r="27" spans="1:13">
      <c r="A27" s="78">
        <v>25</v>
      </c>
      <c r="B27" s="79" t="s">
        <v>9</v>
      </c>
      <c r="C27" s="74">
        <v>3</v>
      </c>
      <c r="D27" s="80">
        <v>0</v>
      </c>
      <c r="E27" s="80">
        <v>0</v>
      </c>
      <c r="F27" s="80">
        <v>0</v>
      </c>
      <c r="G27" s="80">
        <v>0</v>
      </c>
      <c r="H27" s="80">
        <v>0</v>
      </c>
      <c r="I27" s="80">
        <v>0</v>
      </c>
      <c r="J27" s="80">
        <v>120</v>
      </c>
      <c r="K27" s="80">
        <v>120</v>
      </c>
      <c r="L27" s="81">
        <f t="shared" si="1"/>
        <v>100</v>
      </c>
      <c r="M27" s="45">
        <f t="shared" si="0"/>
        <v>5</v>
      </c>
    </row>
    <row r="28" spans="1:13">
      <c r="A28" s="78">
        <v>26</v>
      </c>
      <c r="B28" s="79" t="s">
        <v>18</v>
      </c>
      <c r="C28" s="74">
        <v>1</v>
      </c>
      <c r="D28" s="80">
        <v>299</v>
      </c>
      <c r="E28" s="80">
        <v>0</v>
      </c>
      <c r="F28" s="80">
        <v>0</v>
      </c>
      <c r="G28" s="80">
        <v>0</v>
      </c>
      <c r="H28" s="80">
        <v>0</v>
      </c>
      <c r="I28" s="80">
        <v>0</v>
      </c>
      <c r="J28" s="80">
        <v>42</v>
      </c>
      <c r="K28" s="80">
        <v>341</v>
      </c>
      <c r="L28" s="81">
        <f t="shared" si="1"/>
        <v>100</v>
      </c>
      <c r="M28" s="45">
        <f t="shared" si="0"/>
        <v>5</v>
      </c>
    </row>
    <row r="29" spans="1:13">
      <c r="A29" s="78">
        <v>27</v>
      </c>
      <c r="B29" s="79" t="s">
        <v>17</v>
      </c>
      <c r="C29" s="74">
        <v>3</v>
      </c>
      <c r="D29" s="80">
        <v>163</v>
      </c>
      <c r="E29" s="80">
        <v>0</v>
      </c>
      <c r="F29" s="80">
        <v>0</v>
      </c>
      <c r="G29" s="80">
        <v>0</v>
      </c>
      <c r="H29" s="80">
        <v>0</v>
      </c>
      <c r="I29" s="80">
        <v>0</v>
      </c>
      <c r="J29" s="80">
        <v>0</v>
      </c>
      <c r="K29" s="80">
        <v>163</v>
      </c>
      <c r="L29" s="81">
        <f t="shared" si="1"/>
        <v>100</v>
      </c>
      <c r="M29" s="45">
        <f t="shared" si="0"/>
        <v>5</v>
      </c>
    </row>
    <row r="30" spans="1:13">
      <c r="A30" s="78">
        <v>28</v>
      </c>
      <c r="B30" s="79" t="s">
        <v>27</v>
      </c>
      <c r="C30" s="74">
        <v>5</v>
      </c>
      <c r="D30" s="80">
        <v>0</v>
      </c>
      <c r="E30" s="80">
        <v>0</v>
      </c>
      <c r="F30" s="80">
        <v>0</v>
      </c>
      <c r="G30" s="80">
        <v>0</v>
      </c>
      <c r="H30" s="80">
        <v>0</v>
      </c>
      <c r="I30" s="80">
        <v>0</v>
      </c>
      <c r="J30" s="80">
        <v>173</v>
      </c>
      <c r="K30" s="80">
        <v>173</v>
      </c>
      <c r="L30" s="81">
        <f t="shared" si="1"/>
        <v>100</v>
      </c>
      <c r="M30" s="45">
        <f t="shared" si="0"/>
        <v>5</v>
      </c>
    </row>
    <row r="31" s="2" customFormat="1" spans="1:13">
      <c r="A31" s="82" t="s">
        <v>75</v>
      </c>
      <c r="B31" s="83"/>
      <c r="C31" s="74">
        <f>SUM(C3:C30)</f>
        <v>112</v>
      </c>
      <c r="D31" s="74">
        <f t="shared" ref="D31:K31" si="2">SUM(D3:D30)</f>
        <v>3092</v>
      </c>
      <c r="E31" s="74">
        <f t="shared" si="2"/>
        <v>0</v>
      </c>
      <c r="F31" s="74">
        <f t="shared" si="2"/>
        <v>0</v>
      </c>
      <c r="G31" s="74">
        <f t="shared" si="2"/>
        <v>0</v>
      </c>
      <c r="H31" s="74">
        <f t="shared" si="2"/>
        <v>0</v>
      </c>
      <c r="I31" s="74">
        <f t="shared" si="2"/>
        <v>0</v>
      </c>
      <c r="J31" s="74">
        <f t="shared" si="2"/>
        <v>2503</v>
      </c>
      <c r="K31" s="74">
        <f t="shared" si="2"/>
        <v>5595</v>
      </c>
      <c r="L31" s="81">
        <f t="shared" si="1"/>
        <v>100</v>
      </c>
      <c r="M31" s="45">
        <f t="shared" si="0"/>
        <v>5</v>
      </c>
    </row>
  </sheetData>
  <mergeCells count="2">
    <mergeCell ref="A1:M1"/>
    <mergeCell ref="A31:B31"/>
  </mergeCells>
  <pageMargins left="0.75" right="0.236111111111111" top="0.432638888888889" bottom="0.747916666666667" header="0.236111111111111" footer="0.5"/>
  <pageSetup paperSize="1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O3" sqref="O3"/>
    </sheetView>
  </sheetViews>
  <sheetFormatPr defaultColWidth="9.14285714285714" defaultRowHeight="15"/>
  <cols>
    <col min="1" max="1" width="8" customWidth="1"/>
    <col min="2" max="2" width="25.5714285714286" customWidth="1"/>
    <col min="3" max="3" width="13.4285714285714" customWidth="1"/>
    <col min="4" max="4" width="12.5714285714286" customWidth="1"/>
    <col min="5" max="5" width="8.14285714285714" style="57" customWidth="1"/>
    <col min="6" max="6" width="8.85714285714286" style="58" customWidth="1"/>
    <col min="7" max="7" width="8.42857142857143" customWidth="1"/>
    <col min="8" max="8" width="15.4285714285714" customWidth="1"/>
    <col min="9" max="9" width="8.14285714285714" style="59" customWidth="1"/>
    <col min="10" max="10" width="8.85714285714286" style="59" customWidth="1"/>
    <col min="11" max="11" width="10.4285714285714" style="59" customWidth="1"/>
    <col min="12" max="12" width="8.14285714285714" customWidth="1"/>
  </cols>
  <sheetData>
    <row r="1" ht="29" customHeight="1" spans="1:12">
      <c r="A1" s="51" t="s">
        <v>109</v>
      </c>
      <c r="B1" s="51"/>
      <c r="C1" s="51"/>
      <c r="D1" s="51"/>
      <c r="E1" s="60"/>
      <c r="F1" s="61"/>
      <c r="G1" s="51"/>
      <c r="H1" s="51"/>
      <c r="I1" s="62"/>
      <c r="J1" s="62"/>
      <c r="K1" s="63"/>
      <c r="L1" s="51"/>
    </row>
    <row r="2" ht="60" spans="1:12">
      <c r="A2" s="52" t="s">
        <v>1</v>
      </c>
      <c r="B2" s="53" t="s">
        <v>110</v>
      </c>
      <c r="C2" s="64" t="s">
        <v>111</v>
      </c>
      <c r="D2" s="64" t="s">
        <v>112</v>
      </c>
      <c r="E2" s="64" t="s">
        <v>113</v>
      </c>
      <c r="F2" s="64" t="s">
        <v>114</v>
      </c>
      <c r="G2" s="64" t="s">
        <v>115</v>
      </c>
      <c r="H2" s="64" t="s">
        <v>116</v>
      </c>
      <c r="I2" s="64" t="s">
        <v>117</v>
      </c>
      <c r="J2" s="64" t="s">
        <v>118</v>
      </c>
      <c r="K2" s="41" t="s">
        <v>5</v>
      </c>
      <c r="L2" s="41" t="s">
        <v>6</v>
      </c>
    </row>
    <row r="3" ht="15.75" spans="1:12">
      <c r="A3" s="13">
        <v>1</v>
      </c>
      <c r="B3" s="49" t="s">
        <v>119</v>
      </c>
      <c r="C3" s="16">
        <v>1098</v>
      </c>
      <c r="D3" s="16">
        <v>1035</v>
      </c>
      <c r="E3" s="65">
        <f t="shared" ref="E3:E31" si="0">D3/C3*100</f>
        <v>94.2622950819672</v>
      </c>
      <c r="F3" s="66">
        <f t="shared" ref="F3:F31" si="1">E3*0.025</f>
        <v>2.35655737704918</v>
      </c>
      <c r="G3" s="16">
        <v>951</v>
      </c>
      <c r="H3" s="16">
        <v>662</v>
      </c>
      <c r="I3" s="66">
        <f t="shared" ref="I3:I31" si="2">H3/G3*100</f>
        <v>69.6109358569926</v>
      </c>
      <c r="J3" s="66">
        <f t="shared" ref="J3:J31" si="3">I3*0.025</f>
        <v>1.74027339642482</v>
      </c>
      <c r="K3" s="44">
        <f>(E3+I3)/200*100</f>
        <v>81.9366154694799</v>
      </c>
      <c r="L3" s="45">
        <f>5/100*K3</f>
        <v>4.096830773474</v>
      </c>
    </row>
    <row r="4" ht="15.75" spans="1:12">
      <c r="A4" s="13">
        <v>2</v>
      </c>
      <c r="B4" s="49" t="s">
        <v>31</v>
      </c>
      <c r="C4" s="16">
        <v>278</v>
      </c>
      <c r="D4" s="16">
        <v>260</v>
      </c>
      <c r="E4" s="65">
        <f t="shared" si="0"/>
        <v>93.5251798561151</v>
      </c>
      <c r="F4" s="66">
        <f t="shared" si="1"/>
        <v>2.33812949640288</v>
      </c>
      <c r="G4" s="16">
        <v>248</v>
      </c>
      <c r="H4" s="16">
        <v>220</v>
      </c>
      <c r="I4" s="66">
        <f t="shared" si="2"/>
        <v>88.7096774193548</v>
      </c>
      <c r="J4" s="66">
        <f t="shared" si="3"/>
        <v>2.21774193548387</v>
      </c>
      <c r="K4" s="44">
        <f t="shared" ref="K4:K31" si="4">(E4+I4)/200*100</f>
        <v>91.1174286377349</v>
      </c>
      <c r="L4" s="45">
        <f t="shared" ref="L4:L31" si="5">5/100*K4</f>
        <v>4.55587143188675</v>
      </c>
    </row>
    <row r="5" ht="15.75" spans="1:12">
      <c r="A5" s="13">
        <v>3</v>
      </c>
      <c r="B5" s="49" t="s">
        <v>28</v>
      </c>
      <c r="C5" s="16">
        <v>264</v>
      </c>
      <c r="D5" s="16">
        <v>259</v>
      </c>
      <c r="E5" s="65">
        <f t="shared" si="0"/>
        <v>98.1060606060606</v>
      </c>
      <c r="F5" s="66">
        <f t="shared" si="1"/>
        <v>2.45265151515152</v>
      </c>
      <c r="G5" s="16">
        <v>226</v>
      </c>
      <c r="H5" s="16">
        <v>199</v>
      </c>
      <c r="I5" s="66">
        <f t="shared" si="2"/>
        <v>88.0530973451327</v>
      </c>
      <c r="J5" s="66">
        <f t="shared" si="3"/>
        <v>2.20132743362832</v>
      </c>
      <c r="K5" s="44">
        <f t="shared" si="4"/>
        <v>93.0795789755966</v>
      </c>
      <c r="L5" s="45">
        <f t="shared" si="5"/>
        <v>4.65397894877983</v>
      </c>
    </row>
    <row r="6" ht="15.75" spans="1:12">
      <c r="A6" s="13">
        <v>4</v>
      </c>
      <c r="B6" s="49" t="s">
        <v>33</v>
      </c>
      <c r="C6" s="16">
        <v>249</v>
      </c>
      <c r="D6" s="16">
        <v>232</v>
      </c>
      <c r="E6" s="65">
        <f t="shared" si="0"/>
        <v>93.1726907630522</v>
      </c>
      <c r="F6" s="66">
        <f t="shared" si="1"/>
        <v>2.32931726907631</v>
      </c>
      <c r="G6" s="16">
        <v>196</v>
      </c>
      <c r="H6" s="16">
        <v>168</v>
      </c>
      <c r="I6" s="66">
        <f t="shared" si="2"/>
        <v>85.7142857142857</v>
      </c>
      <c r="J6" s="66">
        <f t="shared" si="3"/>
        <v>2.14285714285714</v>
      </c>
      <c r="K6" s="44">
        <f t="shared" si="4"/>
        <v>89.4434882386689</v>
      </c>
      <c r="L6" s="45">
        <f t="shared" si="5"/>
        <v>4.47217441193345</v>
      </c>
    </row>
    <row r="7" ht="15.75" spans="1:12">
      <c r="A7" s="13">
        <v>5</v>
      </c>
      <c r="B7" s="49" t="s">
        <v>34</v>
      </c>
      <c r="C7" s="16">
        <v>202</v>
      </c>
      <c r="D7" s="16">
        <v>197</v>
      </c>
      <c r="E7" s="65">
        <f t="shared" si="0"/>
        <v>97.5247524752475</v>
      </c>
      <c r="F7" s="66">
        <f t="shared" si="1"/>
        <v>2.43811881188119</v>
      </c>
      <c r="G7" s="16">
        <v>147</v>
      </c>
      <c r="H7" s="16">
        <v>135</v>
      </c>
      <c r="I7" s="66">
        <f t="shared" si="2"/>
        <v>91.8367346938776</v>
      </c>
      <c r="J7" s="66">
        <f t="shared" si="3"/>
        <v>2.29591836734694</v>
      </c>
      <c r="K7" s="44">
        <f t="shared" si="4"/>
        <v>94.6807435845625</v>
      </c>
      <c r="L7" s="45">
        <f t="shared" si="5"/>
        <v>4.73403717922813</v>
      </c>
    </row>
    <row r="8" ht="15.75" spans="1:12">
      <c r="A8" s="13">
        <v>6</v>
      </c>
      <c r="B8" s="49" t="s">
        <v>24</v>
      </c>
      <c r="C8" s="16">
        <v>185</v>
      </c>
      <c r="D8" s="16">
        <v>168</v>
      </c>
      <c r="E8" s="65">
        <f t="shared" si="0"/>
        <v>90.8108108108108</v>
      </c>
      <c r="F8" s="66">
        <f t="shared" si="1"/>
        <v>2.27027027027027</v>
      </c>
      <c r="G8" s="16">
        <v>157</v>
      </c>
      <c r="H8" s="16">
        <v>113</v>
      </c>
      <c r="I8" s="66">
        <f t="shared" si="2"/>
        <v>71.9745222929936</v>
      </c>
      <c r="J8" s="66">
        <f t="shared" si="3"/>
        <v>1.79936305732484</v>
      </c>
      <c r="K8" s="44">
        <f t="shared" si="4"/>
        <v>81.3926665519022</v>
      </c>
      <c r="L8" s="45">
        <f t="shared" si="5"/>
        <v>4.06963332759511</v>
      </c>
    </row>
    <row r="9" ht="15.75" spans="1:12">
      <c r="A9" s="13">
        <v>7</v>
      </c>
      <c r="B9" s="49" t="s">
        <v>120</v>
      </c>
      <c r="C9" s="16">
        <v>493</v>
      </c>
      <c r="D9" s="16">
        <v>0</v>
      </c>
      <c r="E9" s="65">
        <f t="shared" si="0"/>
        <v>0</v>
      </c>
      <c r="F9" s="66">
        <f t="shared" si="1"/>
        <v>0</v>
      </c>
      <c r="G9" s="16">
        <v>342</v>
      </c>
      <c r="H9" s="16">
        <v>111</v>
      </c>
      <c r="I9" s="66">
        <f t="shared" si="2"/>
        <v>32.4561403508772</v>
      </c>
      <c r="J9" s="66">
        <f t="shared" si="3"/>
        <v>0.81140350877193</v>
      </c>
      <c r="K9" s="44">
        <f t="shared" si="4"/>
        <v>16.2280701754386</v>
      </c>
      <c r="L9" s="45">
        <f t="shared" si="5"/>
        <v>0.81140350877193</v>
      </c>
    </row>
    <row r="10" ht="15.75" spans="1:12">
      <c r="A10" s="13">
        <v>8</v>
      </c>
      <c r="B10" s="49" t="s">
        <v>25</v>
      </c>
      <c r="C10" s="16">
        <v>209</v>
      </c>
      <c r="D10" s="16">
        <v>0</v>
      </c>
      <c r="E10" s="65">
        <f t="shared" si="0"/>
        <v>0</v>
      </c>
      <c r="F10" s="66">
        <f t="shared" si="1"/>
        <v>0</v>
      </c>
      <c r="G10" s="16">
        <v>190</v>
      </c>
      <c r="H10" s="16">
        <v>106</v>
      </c>
      <c r="I10" s="66">
        <f t="shared" si="2"/>
        <v>55.7894736842105</v>
      </c>
      <c r="J10" s="66">
        <f t="shared" si="3"/>
        <v>1.39473684210526</v>
      </c>
      <c r="K10" s="44">
        <f t="shared" si="4"/>
        <v>27.8947368421052</v>
      </c>
      <c r="L10" s="45">
        <f t="shared" si="5"/>
        <v>1.39473684210526</v>
      </c>
    </row>
    <row r="11" ht="15.75" spans="1:12">
      <c r="A11" s="13">
        <v>9</v>
      </c>
      <c r="B11" s="49" t="s">
        <v>27</v>
      </c>
      <c r="C11" s="16">
        <v>200</v>
      </c>
      <c r="D11" s="16">
        <v>0</v>
      </c>
      <c r="E11" s="65">
        <f t="shared" si="0"/>
        <v>0</v>
      </c>
      <c r="F11" s="66">
        <f t="shared" si="1"/>
        <v>0</v>
      </c>
      <c r="G11" s="16">
        <v>158</v>
      </c>
      <c r="H11" s="16">
        <v>99</v>
      </c>
      <c r="I11" s="66">
        <f t="shared" si="2"/>
        <v>62.6582278481013</v>
      </c>
      <c r="J11" s="66">
        <f t="shared" si="3"/>
        <v>1.56645569620253</v>
      </c>
      <c r="K11" s="44">
        <f t="shared" si="4"/>
        <v>31.3291139240506</v>
      </c>
      <c r="L11" s="45">
        <f t="shared" si="5"/>
        <v>1.56645569620253</v>
      </c>
    </row>
    <row r="12" ht="15.75" spans="1:12">
      <c r="A12" s="13">
        <v>10</v>
      </c>
      <c r="B12" s="49" t="s">
        <v>121</v>
      </c>
      <c r="C12" s="16">
        <v>308</v>
      </c>
      <c r="D12" s="16">
        <v>0</v>
      </c>
      <c r="E12" s="65">
        <f t="shared" si="0"/>
        <v>0</v>
      </c>
      <c r="F12" s="66">
        <f t="shared" si="1"/>
        <v>0</v>
      </c>
      <c r="G12" s="16">
        <v>207</v>
      </c>
      <c r="H12" s="16">
        <v>98</v>
      </c>
      <c r="I12" s="66">
        <f t="shared" si="2"/>
        <v>47.3429951690821</v>
      </c>
      <c r="J12" s="66">
        <f t="shared" si="3"/>
        <v>1.18357487922705</v>
      </c>
      <c r="K12" s="44">
        <f t="shared" si="4"/>
        <v>23.6714975845411</v>
      </c>
      <c r="L12" s="45">
        <f t="shared" si="5"/>
        <v>1.18357487922705</v>
      </c>
    </row>
    <row r="13" ht="15.75" spans="1:12">
      <c r="A13" s="13">
        <v>11</v>
      </c>
      <c r="B13" s="49" t="s">
        <v>122</v>
      </c>
      <c r="C13" s="16">
        <v>269</v>
      </c>
      <c r="D13" s="16">
        <v>0</v>
      </c>
      <c r="E13" s="65">
        <f t="shared" si="0"/>
        <v>0</v>
      </c>
      <c r="F13" s="66">
        <f t="shared" si="1"/>
        <v>0</v>
      </c>
      <c r="G13" s="16">
        <v>195</v>
      </c>
      <c r="H13" s="16">
        <v>97</v>
      </c>
      <c r="I13" s="66">
        <f t="shared" si="2"/>
        <v>49.7435897435897</v>
      </c>
      <c r="J13" s="66">
        <f t="shared" si="3"/>
        <v>1.24358974358974</v>
      </c>
      <c r="K13" s="44">
        <f t="shared" si="4"/>
        <v>24.8717948717949</v>
      </c>
      <c r="L13" s="45">
        <f t="shared" si="5"/>
        <v>1.24358974358974</v>
      </c>
    </row>
    <row r="14" ht="15.75" spans="1:12">
      <c r="A14" s="13">
        <v>12</v>
      </c>
      <c r="B14" s="49" t="s">
        <v>123</v>
      </c>
      <c r="C14" s="16">
        <v>240</v>
      </c>
      <c r="D14" s="16">
        <v>0</v>
      </c>
      <c r="E14" s="65">
        <f t="shared" si="0"/>
        <v>0</v>
      </c>
      <c r="F14" s="66">
        <f t="shared" si="1"/>
        <v>0</v>
      </c>
      <c r="G14" s="16">
        <v>184</v>
      </c>
      <c r="H14" s="16">
        <v>80</v>
      </c>
      <c r="I14" s="66">
        <f t="shared" si="2"/>
        <v>43.4782608695652</v>
      </c>
      <c r="J14" s="66">
        <f t="shared" si="3"/>
        <v>1.08695652173913</v>
      </c>
      <c r="K14" s="44">
        <f t="shared" si="4"/>
        <v>21.7391304347826</v>
      </c>
      <c r="L14" s="45">
        <f t="shared" si="5"/>
        <v>1.08695652173913</v>
      </c>
    </row>
    <row r="15" ht="15.75" spans="1:12">
      <c r="A15" s="13">
        <v>13</v>
      </c>
      <c r="B15" s="49" t="s">
        <v>32</v>
      </c>
      <c r="C15" s="16">
        <v>166</v>
      </c>
      <c r="D15" s="16">
        <v>0</v>
      </c>
      <c r="E15" s="65">
        <f t="shared" si="0"/>
        <v>0</v>
      </c>
      <c r="F15" s="66">
        <f t="shared" si="1"/>
        <v>0</v>
      </c>
      <c r="G15" s="16">
        <v>124</v>
      </c>
      <c r="H15" s="16">
        <v>77</v>
      </c>
      <c r="I15" s="66">
        <f t="shared" si="2"/>
        <v>62.0967741935484</v>
      </c>
      <c r="J15" s="66">
        <f t="shared" si="3"/>
        <v>1.55241935483871</v>
      </c>
      <c r="K15" s="44">
        <f t="shared" si="4"/>
        <v>31.0483870967742</v>
      </c>
      <c r="L15" s="45">
        <f t="shared" si="5"/>
        <v>1.55241935483871</v>
      </c>
    </row>
    <row r="16" ht="15.75" spans="1:12">
      <c r="A16" s="13">
        <v>14</v>
      </c>
      <c r="B16" s="49" t="s">
        <v>16</v>
      </c>
      <c r="C16" s="16">
        <v>243</v>
      </c>
      <c r="D16" s="16">
        <v>0</v>
      </c>
      <c r="E16" s="65">
        <f t="shared" si="0"/>
        <v>0</v>
      </c>
      <c r="F16" s="66">
        <f t="shared" si="1"/>
        <v>0</v>
      </c>
      <c r="G16" s="16">
        <v>185</v>
      </c>
      <c r="H16" s="16">
        <v>68</v>
      </c>
      <c r="I16" s="66">
        <f t="shared" si="2"/>
        <v>36.7567567567568</v>
      </c>
      <c r="J16" s="66">
        <f t="shared" si="3"/>
        <v>0.918918918918919</v>
      </c>
      <c r="K16" s="44">
        <f t="shared" si="4"/>
        <v>18.3783783783784</v>
      </c>
      <c r="L16" s="45">
        <f t="shared" si="5"/>
        <v>0.91891891891892</v>
      </c>
    </row>
    <row r="17" ht="15.75" spans="1:12">
      <c r="A17" s="13">
        <v>15</v>
      </c>
      <c r="B17" s="49" t="s">
        <v>124</v>
      </c>
      <c r="C17" s="16">
        <v>187</v>
      </c>
      <c r="D17" s="16">
        <v>0</v>
      </c>
      <c r="E17" s="65">
        <f t="shared" si="0"/>
        <v>0</v>
      </c>
      <c r="F17" s="66">
        <f t="shared" si="1"/>
        <v>0</v>
      </c>
      <c r="G17" s="16">
        <v>104</v>
      </c>
      <c r="H17" s="16">
        <v>54</v>
      </c>
      <c r="I17" s="66">
        <f t="shared" si="2"/>
        <v>51.9230769230769</v>
      </c>
      <c r="J17" s="66">
        <f t="shared" si="3"/>
        <v>1.29807692307692</v>
      </c>
      <c r="K17" s="44">
        <f t="shared" si="4"/>
        <v>25.9615384615384</v>
      </c>
      <c r="L17" s="45">
        <f t="shared" si="5"/>
        <v>1.29807692307692</v>
      </c>
    </row>
    <row r="18" ht="15.75" spans="1:12">
      <c r="A18" s="13">
        <v>16</v>
      </c>
      <c r="B18" s="49" t="s">
        <v>13</v>
      </c>
      <c r="C18" s="16">
        <v>139</v>
      </c>
      <c r="D18" s="16">
        <v>0</v>
      </c>
      <c r="E18" s="65">
        <f t="shared" si="0"/>
        <v>0</v>
      </c>
      <c r="F18" s="66">
        <f t="shared" si="1"/>
        <v>0</v>
      </c>
      <c r="G18" s="16">
        <v>119</v>
      </c>
      <c r="H18" s="16">
        <v>41</v>
      </c>
      <c r="I18" s="66">
        <f t="shared" si="2"/>
        <v>34.453781512605</v>
      </c>
      <c r="J18" s="66">
        <f t="shared" si="3"/>
        <v>0.861344537815126</v>
      </c>
      <c r="K18" s="44">
        <f t="shared" si="4"/>
        <v>17.2268907563025</v>
      </c>
      <c r="L18" s="45">
        <f t="shared" si="5"/>
        <v>0.861344537815125</v>
      </c>
    </row>
    <row r="19" ht="15.75" spans="1:12">
      <c r="A19" s="13">
        <v>17</v>
      </c>
      <c r="B19" s="49" t="s">
        <v>12</v>
      </c>
      <c r="C19" s="16">
        <v>153</v>
      </c>
      <c r="D19" s="16">
        <v>0</v>
      </c>
      <c r="E19" s="65">
        <f t="shared" si="0"/>
        <v>0</v>
      </c>
      <c r="F19" s="66">
        <f t="shared" si="1"/>
        <v>0</v>
      </c>
      <c r="G19" s="16">
        <v>117</v>
      </c>
      <c r="H19" s="16">
        <v>10</v>
      </c>
      <c r="I19" s="66">
        <f t="shared" si="2"/>
        <v>8.54700854700855</v>
      </c>
      <c r="J19" s="66">
        <f t="shared" si="3"/>
        <v>0.213675213675214</v>
      </c>
      <c r="K19" s="44">
        <f t="shared" si="4"/>
        <v>4.27350427350428</v>
      </c>
      <c r="L19" s="45">
        <f t="shared" si="5"/>
        <v>0.213675213675214</v>
      </c>
    </row>
    <row r="20" ht="15.75" spans="1:12">
      <c r="A20" s="13">
        <v>18</v>
      </c>
      <c r="B20" s="49" t="s">
        <v>125</v>
      </c>
      <c r="C20" s="16">
        <v>427</v>
      </c>
      <c r="D20" s="16">
        <v>0</v>
      </c>
      <c r="E20" s="65">
        <f t="shared" si="0"/>
        <v>0</v>
      </c>
      <c r="F20" s="66">
        <f t="shared" si="1"/>
        <v>0</v>
      </c>
      <c r="G20" s="16">
        <v>317</v>
      </c>
      <c r="H20" s="16">
        <v>7</v>
      </c>
      <c r="I20" s="66">
        <f t="shared" si="2"/>
        <v>2.20820189274448</v>
      </c>
      <c r="J20" s="66">
        <f t="shared" si="3"/>
        <v>0.055205047318612</v>
      </c>
      <c r="K20" s="44">
        <f t="shared" si="4"/>
        <v>1.10410094637224</v>
      </c>
      <c r="L20" s="45">
        <f t="shared" si="5"/>
        <v>0.055205047318612</v>
      </c>
    </row>
    <row r="21" ht="15.75" spans="1:12">
      <c r="A21" s="13">
        <v>19</v>
      </c>
      <c r="B21" s="49" t="s">
        <v>30</v>
      </c>
      <c r="C21" s="16">
        <v>143</v>
      </c>
      <c r="D21" s="16">
        <v>0</v>
      </c>
      <c r="E21" s="65">
        <f t="shared" si="0"/>
        <v>0</v>
      </c>
      <c r="F21" s="66">
        <f t="shared" si="1"/>
        <v>0</v>
      </c>
      <c r="G21" s="16">
        <v>99</v>
      </c>
      <c r="H21" s="16">
        <v>7</v>
      </c>
      <c r="I21" s="66">
        <f t="shared" si="2"/>
        <v>7.07070707070707</v>
      </c>
      <c r="J21" s="66">
        <f t="shared" si="3"/>
        <v>0.176767676767677</v>
      </c>
      <c r="K21" s="44">
        <f t="shared" si="4"/>
        <v>3.53535353535353</v>
      </c>
      <c r="L21" s="45">
        <f t="shared" si="5"/>
        <v>0.176767676767677</v>
      </c>
    </row>
    <row r="22" ht="15.75" spans="1:12">
      <c r="A22" s="13">
        <v>20</v>
      </c>
      <c r="B22" s="49" t="s">
        <v>15</v>
      </c>
      <c r="C22" s="16">
        <v>165</v>
      </c>
      <c r="D22" s="16">
        <v>0</v>
      </c>
      <c r="E22" s="65">
        <f t="shared" si="0"/>
        <v>0</v>
      </c>
      <c r="F22" s="66">
        <f t="shared" si="1"/>
        <v>0</v>
      </c>
      <c r="G22" s="16">
        <v>122</v>
      </c>
      <c r="H22" s="16">
        <v>3</v>
      </c>
      <c r="I22" s="66">
        <f t="shared" si="2"/>
        <v>2.45901639344262</v>
      </c>
      <c r="J22" s="66">
        <f t="shared" si="3"/>
        <v>0.0614754098360656</v>
      </c>
      <c r="K22" s="44">
        <f t="shared" si="4"/>
        <v>1.22950819672131</v>
      </c>
      <c r="L22" s="45">
        <f t="shared" si="5"/>
        <v>0.0614754098360655</v>
      </c>
    </row>
    <row r="23" ht="15.75" spans="1:12">
      <c r="A23" s="13">
        <v>21</v>
      </c>
      <c r="B23" s="49" t="s">
        <v>17</v>
      </c>
      <c r="C23" s="16">
        <v>100</v>
      </c>
      <c r="D23" s="16">
        <v>0</v>
      </c>
      <c r="E23" s="65">
        <f t="shared" si="0"/>
        <v>0</v>
      </c>
      <c r="F23" s="66">
        <f t="shared" si="1"/>
        <v>0</v>
      </c>
      <c r="G23" s="16">
        <v>68</v>
      </c>
      <c r="H23" s="16">
        <v>2</v>
      </c>
      <c r="I23" s="66">
        <f t="shared" si="2"/>
        <v>2.94117647058823</v>
      </c>
      <c r="J23" s="66">
        <f t="shared" si="3"/>
        <v>0.0735294117647059</v>
      </c>
      <c r="K23" s="44">
        <f t="shared" si="4"/>
        <v>1.47058823529412</v>
      </c>
      <c r="L23" s="45">
        <f t="shared" si="5"/>
        <v>0.0735294117647058</v>
      </c>
    </row>
    <row r="24" ht="15.75" spans="1:12">
      <c r="A24" s="13">
        <v>22</v>
      </c>
      <c r="B24" s="49" t="s">
        <v>19</v>
      </c>
      <c r="C24" s="16">
        <v>99</v>
      </c>
      <c r="D24" s="16">
        <v>0</v>
      </c>
      <c r="E24" s="65">
        <f t="shared" si="0"/>
        <v>0</v>
      </c>
      <c r="F24" s="66">
        <f t="shared" si="1"/>
        <v>0</v>
      </c>
      <c r="G24" s="16">
        <v>73</v>
      </c>
      <c r="H24" s="16">
        <v>2</v>
      </c>
      <c r="I24" s="66">
        <f t="shared" si="2"/>
        <v>2.73972602739726</v>
      </c>
      <c r="J24" s="66">
        <f t="shared" si="3"/>
        <v>0.0684931506849315</v>
      </c>
      <c r="K24" s="44">
        <f t="shared" si="4"/>
        <v>1.36986301369863</v>
      </c>
      <c r="L24" s="45">
        <f t="shared" si="5"/>
        <v>0.0684931506849315</v>
      </c>
    </row>
    <row r="25" ht="15.75" spans="1:12">
      <c r="A25" s="13">
        <v>23</v>
      </c>
      <c r="B25" s="49" t="s">
        <v>14</v>
      </c>
      <c r="C25" s="16">
        <v>112</v>
      </c>
      <c r="D25" s="16">
        <v>0</v>
      </c>
      <c r="E25" s="65">
        <f t="shared" si="0"/>
        <v>0</v>
      </c>
      <c r="F25" s="66">
        <f t="shared" si="1"/>
        <v>0</v>
      </c>
      <c r="G25" s="16">
        <v>79</v>
      </c>
      <c r="H25" s="16">
        <v>2</v>
      </c>
      <c r="I25" s="66">
        <f t="shared" si="2"/>
        <v>2.53164556962025</v>
      </c>
      <c r="J25" s="66">
        <f t="shared" si="3"/>
        <v>0.0632911392405063</v>
      </c>
      <c r="K25" s="44">
        <f t="shared" si="4"/>
        <v>1.26582278481012</v>
      </c>
      <c r="L25" s="45">
        <f t="shared" si="5"/>
        <v>0.0632911392405062</v>
      </c>
    </row>
    <row r="26" ht="15.75" spans="1:12">
      <c r="A26" s="13">
        <v>24</v>
      </c>
      <c r="B26" s="49" t="s">
        <v>18</v>
      </c>
      <c r="C26" s="16">
        <v>9</v>
      </c>
      <c r="D26" s="16">
        <v>0</v>
      </c>
      <c r="E26" s="65">
        <f t="shared" si="0"/>
        <v>0</v>
      </c>
      <c r="F26" s="66">
        <f t="shared" si="1"/>
        <v>0</v>
      </c>
      <c r="G26" s="16">
        <v>3</v>
      </c>
      <c r="H26" s="16">
        <v>0</v>
      </c>
      <c r="I26" s="66">
        <f t="shared" si="2"/>
        <v>0</v>
      </c>
      <c r="J26" s="66">
        <f t="shared" si="3"/>
        <v>0</v>
      </c>
      <c r="K26" s="44">
        <f t="shared" si="4"/>
        <v>0</v>
      </c>
      <c r="L26" s="45">
        <f t="shared" si="5"/>
        <v>0</v>
      </c>
    </row>
    <row r="27" ht="15.75" spans="1:12">
      <c r="A27" s="13">
        <v>25</v>
      </c>
      <c r="B27" s="49" t="s">
        <v>9</v>
      </c>
      <c r="C27" s="16">
        <v>13</v>
      </c>
      <c r="D27" s="16">
        <v>0</v>
      </c>
      <c r="E27" s="65">
        <f t="shared" si="0"/>
        <v>0</v>
      </c>
      <c r="F27" s="66">
        <f t="shared" si="1"/>
        <v>0</v>
      </c>
      <c r="G27" s="16">
        <v>1</v>
      </c>
      <c r="H27" s="16">
        <v>0</v>
      </c>
      <c r="I27" s="66">
        <f t="shared" si="2"/>
        <v>0</v>
      </c>
      <c r="J27" s="66">
        <f t="shared" si="3"/>
        <v>0</v>
      </c>
      <c r="K27" s="44">
        <f t="shared" si="4"/>
        <v>0</v>
      </c>
      <c r="L27" s="45">
        <f t="shared" si="5"/>
        <v>0</v>
      </c>
    </row>
    <row r="28" ht="15.75" spans="1:12">
      <c r="A28" s="13">
        <v>26</v>
      </c>
      <c r="B28" s="49" t="s">
        <v>29</v>
      </c>
      <c r="C28" s="16">
        <v>638</v>
      </c>
      <c r="D28" s="16">
        <v>0</v>
      </c>
      <c r="E28" s="65">
        <f t="shared" si="0"/>
        <v>0</v>
      </c>
      <c r="F28" s="66">
        <f t="shared" si="1"/>
        <v>0</v>
      </c>
      <c r="G28" s="16">
        <v>517</v>
      </c>
      <c r="H28" s="16">
        <v>0</v>
      </c>
      <c r="I28" s="66">
        <f t="shared" si="2"/>
        <v>0</v>
      </c>
      <c r="J28" s="66">
        <f t="shared" si="3"/>
        <v>0</v>
      </c>
      <c r="K28" s="44">
        <f t="shared" si="4"/>
        <v>0</v>
      </c>
      <c r="L28" s="45">
        <f t="shared" si="5"/>
        <v>0</v>
      </c>
    </row>
    <row r="29" ht="15.75" spans="1:12">
      <c r="A29" s="13">
        <v>27</v>
      </c>
      <c r="B29" s="49" t="s">
        <v>7</v>
      </c>
      <c r="C29" s="16">
        <v>52</v>
      </c>
      <c r="D29" s="16">
        <v>0</v>
      </c>
      <c r="E29" s="65">
        <f t="shared" si="0"/>
        <v>0</v>
      </c>
      <c r="F29" s="66">
        <f t="shared" si="1"/>
        <v>0</v>
      </c>
      <c r="G29" s="16">
        <v>18</v>
      </c>
      <c r="H29" s="16">
        <v>0</v>
      </c>
      <c r="I29" s="66">
        <f t="shared" si="2"/>
        <v>0</v>
      </c>
      <c r="J29" s="66">
        <f t="shared" si="3"/>
        <v>0</v>
      </c>
      <c r="K29" s="44">
        <f t="shared" si="4"/>
        <v>0</v>
      </c>
      <c r="L29" s="45">
        <f t="shared" si="5"/>
        <v>0</v>
      </c>
    </row>
    <row r="30" ht="15.75" spans="1:12">
      <c r="A30" s="13">
        <v>28</v>
      </c>
      <c r="B30" s="49" t="s">
        <v>21</v>
      </c>
      <c r="C30" s="16">
        <v>14</v>
      </c>
      <c r="D30" s="16">
        <v>0</v>
      </c>
      <c r="E30" s="65">
        <f t="shared" si="0"/>
        <v>0</v>
      </c>
      <c r="F30" s="66">
        <f t="shared" si="1"/>
        <v>0</v>
      </c>
      <c r="G30" s="16">
        <v>8</v>
      </c>
      <c r="H30" s="16">
        <v>0</v>
      </c>
      <c r="I30" s="66">
        <f t="shared" si="2"/>
        <v>0</v>
      </c>
      <c r="J30" s="66">
        <f t="shared" si="3"/>
        <v>0</v>
      </c>
      <c r="K30" s="44">
        <f t="shared" si="4"/>
        <v>0</v>
      </c>
      <c r="L30" s="45">
        <f t="shared" si="5"/>
        <v>0</v>
      </c>
    </row>
    <row r="31" ht="15.75" spans="1:12">
      <c r="A31" s="13" t="s">
        <v>126</v>
      </c>
      <c r="B31" s="49" t="s">
        <v>35</v>
      </c>
      <c r="C31" s="16">
        <f t="shared" ref="C31:H31" si="6">SUM(C3:C30)</f>
        <v>6655</v>
      </c>
      <c r="D31" s="16">
        <f t="shared" si="6"/>
        <v>2151</v>
      </c>
      <c r="E31" s="65">
        <f t="shared" si="0"/>
        <v>32.3215627347859</v>
      </c>
      <c r="F31" s="66">
        <f t="shared" si="1"/>
        <v>0.808039068369647</v>
      </c>
      <c r="G31" s="16">
        <f t="shared" si="6"/>
        <v>5155</v>
      </c>
      <c r="H31" s="16">
        <f t="shared" si="6"/>
        <v>2361</v>
      </c>
      <c r="I31" s="66">
        <f t="shared" si="2"/>
        <v>45.800193986421</v>
      </c>
      <c r="J31" s="66">
        <f t="shared" si="3"/>
        <v>1.14500484966052</v>
      </c>
      <c r="K31" s="44">
        <f t="shared" si="4"/>
        <v>39.0608783606035</v>
      </c>
      <c r="L31" s="45">
        <f t="shared" si="5"/>
        <v>1.95304391803017</v>
      </c>
    </row>
  </sheetData>
  <mergeCells count="1">
    <mergeCell ref="A1:L1"/>
  </mergeCells>
  <pageMargins left="0.629861111111111" right="0.354166666666667" top="0.432638888888889" bottom="0.511805555555556" header="0.196527777777778" footer="0.275"/>
  <pageSetup paperSize="1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topLeftCell="B1" workbookViewId="0">
      <selection activeCell="M17" sqref="M17"/>
    </sheetView>
  </sheetViews>
  <sheetFormatPr defaultColWidth="9.14285714285714" defaultRowHeight="15"/>
  <cols>
    <col min="1" max="1" width="8" customWidth="1"/>
    <col min="2" max="2" width="27.2857142857143" customWidth="1"/>
    <col min="3" max="3" width="11.7142857142857" customWidth="1"/>
    <col min="4" max="4" width="11.8571428571429" customWidth="1"/>
    <col min="5" max="5" width="9.40952380952381" customWidth="1"/>
    <col min="6" max="6" width="12.2857142857143" customWidth="1"/>
    <col min="7" max="7" width="11.8571428571429" customWidth="1"/>
    <col min="8" max="8" width="10.4285714285714" customWidth="1"/>
    <col min="9" max="10" width="12.0857142857143" customWidth="1"/>
    <col min="11" max="11" width="11.8571428571429" customWidth="1"/>
  </cols>
  <sheetData>
    <row r="1" ht="29" customHeight="1" spans="1:11">
      <c r="A1" s="51" t="s">
        <v>127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="1" customFormat="1" ht="42" customHeight="1" spans="1:11">
      <c r="A2" s="52" t="s">
        <v>1</v>
      </c>
      <c r="B2" s="53" t="s">
        <v>110</v>
      </c>
      <c r="C2" s="54" t="s">
        <v>128</v>
      </c>
      <c r="D2" s="55" t="s">
        <v>129</v>
      </c>
      <c r="E2" s="56" t="s">
        <v>130</v>
      </c>
      <c r="F2" s="56" t="s">
        <v>131</v>
      </c>
      <c r="G2" s="55" t="s">
        <v>132</v>
      </c>
      <c r="H2" s="56" t="s">
        <v>133</v>
      </c>
      <c r="I2" s="56" t="s">
        <v>134</v>
      </c>
      <c r="J2" s="41" t="s">
        <v>5</v>
      </c>
      <c r="K2" s="41" t="s">
        <v>6</v>
      </c>
    </row>
    <row r="3" ht="15.75" spans="1:11">
      <c r="A3" s="13">
        <v>1</v>
      </c>
      <c r="B3" s="49" t="s">
        <v>119</v>
      </c>
      <c r="C3" s="16">
        <v>42</v>
      </c>
      <c r="D3" s="16">
        <v>42</v>
      </c>
      <c r="E3" s="16">
        <f>D3/C3*100</f>
        <v>100</v>
      </c>
      <c r="F3" s="16">
        <f>E3*0.025</f>
        <v>2.5</v>
      </c>
      <c r="G3" s="16">
        <v>42</v>
      </c>
      <c r="H3" s="34">
        <f>G3/C3*100</f>
        <v>100</v>
      </c>
      <c r="I3" s="34">
        <f>H3*0.025</f>
        <v>2.5</v>
      </c>
      <c r="J3" s="44">
        <f>(E3+H3)/200*100</f>
        <v>100</v>
      </c>
      <c r="K3" s="45">
        <f>J3*0.05</f>
        <v>5</v>
      </c>
    </row>
    <row r="4" ht="15.75" spans="1:11">
      <c r="A4" s="13">
        <v>2</v>
      </c>
      <c r="B4" s="49" t="s">
        <v>31</v>
      </c>
      <c r="C4" s="16">
        <v>13</v>
      </c>
      <c r="D4" s="16">
        <v>13</v>
      </c>
      <c r="E4" s="16">
        <f t="shared" ref="E4:E31" si="0">D4/C4*100</f>
        <v>100</v>
      </c>
      <c r="F4" s="16">
        <f t="shared" ref="F4:F31" si="1">E4*0.025</f>
        <v>2.5</v>
      </c>
      <c r="G4" s="16">
        <v>13</v>
      </c>
      <c r="H4" s="34">
        <f t="shared" ref="H4:H31" si="2">G4/C4*100</f>
        <v>100</v>
      </c>
      <c r="I4" s="34">
        <f t="shared" ref="I4:I31" si="3">H4*0.025</f>
        <v>2.5</v>
      </c>
      <c r="J4" s="44">
        <f t="shared" ref="J4:J31" si="4">(E4+H4)/200*100</f>
        <v>100</v>
      </c>
      <c r="K4" s="45">
        <f t="shared" ref="K4:K30" si="5">J4*0.05</f>
        <v>5</v>
      </c>
    </row>
    <row r="5" ht="15.75" spans="1:11">
      <c r="A5" s="13">
        <v>3</v>
      </c>
      <c r="B5" s="49" t="s">
        <v>28</v>
      </c>
      <c r="C5" s="16">
        <v>17</v>
      </c>
      <c r="D5" s="16">
        <v>17</v>
      </c>
      <c r="E5" s="16">
        <f t="shared" si="0"/>
        <v>100</v>
      </c>
      <c r="F5" s="16">
        <f t="shared" si="1"/>
        <v>2.5</v>
      </c>
      <c r="G5" s="16">
        <v>15</v>
      </c>
      <c r="H5" s="34">
        <f t="shared" si="2"/>
        <v>88.2352941176471</v>
      </c>
      <c r="I5" s="34">
        <f t="shared" si="3"/>
        <v>2.20588235294118</v>
      </c>
      <c r="J5" s="44">
        <f t="shared" si="4"/>
        <v>94.1176470588235</v>
      </c>
      <c r="K5" s="45">
        <f t="shared" si="5"/>
        <v>4.70588235294118</v>
      </c>
    </row>
    <row r="6" ht="15.75" spans="1:11">
      <c r="A6" s="13">
        <v>4</v>
      </c>
      <c r="B6" s="49" t="s">
        <v>33</v>
      </c>
      <c r="C6" s="16">
        <v>21</v>
      </c>
      <c r="D6" s="16">
        <v>21</v>
      </c>
      <c r="E6" s="16">
        <f t="shared" si="0"/>
        <v>100</v>
      </c>
      <c r="F6" s="16">
        <f t="shared" si="1"/>
        <v>2.5</v>
      </c>
      <c r="G6" s="16">
        <v>21</v>
      </c>
      <c r="H6" s="34">
        <f t="shared" si="2"/>
        <v>100</v>
      </c>
      <c r="I6" s="34">
        <f t="shared" si="3"/>
        <v>2.5</v>
      </c>
      <c r="J6" s="44">
        <f t="shared" si="4"/>
        <v>100</v>
      </c>
      <c r="K6" s="45">
        <f t="shared" si="5"/>
        <v>5</v>
      </c>
    </row>
    <row r="7" ht="15.75" spans="1:11">
      <c r="A7" s="13">
        <v>5</v>
      </c>
      <c r="B7" s="49" t="s">
        <v>34</v>
      </c>
      <c r="C7" s="16">
        <v>22</v>
      </c>
      <c r="D7" s="16">
        <v>22</v>
      </c>
      <c r="E7" s="16">
        <f t="shared" si="0"/>
        <v>100</v>
      </c>
      <c r="F7" s="16">
        <f t="shared" si="1"/>
        <v>2.5</v>
      </c>
      <c r="G7" s="16">
        <v>19</v>
      </c>
      <c r="H7" s="34">
        <f t="shared" si="2"/>
        <v>86.3636363636364</v>
      </c>
      <c r="I7" s="34">
        <f t="shared" si="3"/>
        <v>2.15909090909091</v>
      </c>
      <c r="J7" s="44">
        <f t="shared" si="4"/>
        <v>93.1818181818182</v>
      </c>
      <c r="K7" s="45">
        <f t="shared" si="5"/>
        <v>4.65909090909091</v>
      </c>
    </row>
    <row r="8" ht="15.75" spans="1:11">
      <c r="A8" s="13">
        <v>6</v>
      </c>
      <c r="B8" s="49" t="s">
        <v>24</v>
      </c>
      <c r="C8" s="16">
        <v>17</v>
      </c>
      <c r="D8" s="16">
        <v>17</v>
      </c>
      <c r="E8" s="16">
        <f t="shared" si="0"/>
        <v>100</v>
      </c>
      <c r="F8" s="16">
        <f t="shared" si="1"/>
        <v>2.5</v>
      </c>
      <c r="G8" s="16">
        <v>16</v>
      </c>
      <c r="H8" s="34">
        <f t="shared" si="2"/>
        <v>94.1176470588235</v>
      </c>
      <c r="I8" s="34">
        <f t="shared" si="3"/>
        <v>2.35294117647059</v>
      </c>
      <c r="J8" s="44">
        <f t="shared" si="4"/>
        <v>97.0588235294118</v>
      </c>
      <c r="K8" s="45">
        <f t="shared" si="5"/>
        <v>4.85294117647059</v>
      </c>
    </row>
    <row r="9" ht="15.75" spans="1:11">
      <c r="A9" s="13">
        <v>7</v>
      </c>
      <c r="B9" s="49" t="s">
        <v>120</v>
      </c>
      <c r="C9" s="16">
        <v>39</v>
      </c>
      <c r="D9" s="16">
        <v>39</v>
      </c>
      <c r="E9" s="16">
        <f t="shared" si="0"/>
        <v>100</v>
      </c>
      <c r="F9" s="16">
        <f t="shared" si="1"/>
        <v>2.5</v>
      </c>
      <c r="G9" s="16">
        <v>38</v>
      </c>
      <c r="H9" s="34">
        <f t="shared" si="2"/>
        <v>97.4358974358974</v>
      </c>
      <c r="I9" s="34">
        <f t="shared" si="3"/>
        <v>2.43589743589744</v>
      </c>
      <c r="J9" s="44">
        <f t="shared" si="4"/>
        <v>98.7179487179487</v>
      </c>
      <c r="K9" s="45">
        <f t="shared" si="5"/>
        <v>4.93589743589744</v>
      </c>
    </row>
    <row r="10" ht="15.75" spans="1:11">
      <c r="A10" s="13">
        <v>8</v>
      </c>
      <c r="B10" s="49" t="s">
        <v>25</v>
      </c>
      <c r="C10" s="16">
        <v>27</v>
      </c>
      <c r="D10" s="16">
        <v>27</v>
      </c>
      <c r="E10" s="16">
        <f t="shared" si="0"/>
        <v>100</v>
      </c>
      <c r="F10" s="16">
        <f t="shared" si="1"/>
        <v>2.5</v>
      </c>
      <c r="G10" s="16">
        <v>26</v>
      </c>
      <c r="H10" s="34">
        <f t="shared" si="2"/>
        <v>96.2962962962963</v>
      </c>
      <c r="I10" s="34">
        <f t="shared" si="3"/>
        <v>2.40740740740741</v>
      </c>
      <c r="J10" s="44">
        <f t="shared" si="4"/>
        <v>98.1481481481482</v>
      </c>
      <c r="K10" s="45">
        <f t="shared" si="5"/>
        <v>4.90740740740741</v>
      </c>
    </row>
    <row r="11" ht="15.75" spans="1:11">
      <c r="A11" s="13">
        <v>9</v>
      </c>
      <c r="B11" s="49" t="s">
        <v>27</v>
      </c>
      <c r="C11" s="16">
        <v>17</v>
      </c>
      <c r="D11" s="16">
        <v>17</v>
      </c>
      <c r="E11" s="16">
        <f t="shared" si="0"/>
        <v>100</v>
      </c>
      <c r="F11" s="16">
        <f t="shared" si="1"/>
        <v>2.5</v>
      </c>
      <c r="G11" s="16">
        <v>16</v>
      </c>
      <c r="H11" s="34">
        <f t="shared" si="2"/>
        <v>94.1176470588235</v>
      </c>
      <c r="I11" s="34">
        <f t="shared" si="3"/>
        <v>2.35294117647059</v>
      </c>
      <c r="J11" s="44">
        <f t="shared" si="4"/>
        <v>97.0588235294118</v>
      </c>
      <c r="K11" s="45">
        <f t="shared" si="5"/>
        <v>4.85294117647059</v>
      </c>
    </row>
    <row r="12" ht="15.75" spans="1:11">
      <c r="A12" s="13">
        <v>10</v>
      </c>
      <c r="B12" s="49" t="s">
        <v>121</v>
      </c>
      <c r="C12" s="16">
        <v>43</v>
      </c>
      <c r="D12" s="16">
        <v>43</v>
      </c>
      <c r="E12" s="16">
        <f t="shared" si="0"/>
        <v>100</v>
      </c>
      <c r="F12" s="16">
        <f t="shared" si="1"/>
        <v>2.5</v>
      </c>
      <c r="G12" s="16">
        <v>42</v>
      </c>
      <c r="H12" s="34">
        <f t="shared" si="2"/>
        <v>97.6744186046512</v>
      </c>
      <c r="I12" s="34">
        <f t="shared" si="3"/>
        <v>2.44186046511628</v>
      </c>
      <c r="J12" s="44">
        <f t="shared" si="4"/>
        <v>98.8372093023256</v>
      </c>
      <c r="K12" s="45">
        <f t="shared" si="5"/>
        <v>4.94186046511628</v>
      </c>
    </row>
    <row r="13" ht="15.75" spans="1:11">
      <c r="A13" s="13">
        <v>11</v>
      </c>
      <c r="B13" s="49" t="s">
        <v>122</v>
      </c>
      <c r="C13" s="16">
        <v>55</v>
      </c>
      <c r="D13" s="16">
        <v>55</v>
      </c>
      <c r="E13" s="16">
        <f t="shared" si="0"/>
        <v>100</v>
      </c>
      <c r="F13" s="16">
        <f t="shared" si="1"/>
        <v>2.5</v>
      </c>
      <c r="G13" s="16">
        <v>52</v>
      </c>
      <c r="H13" s="34">
        <f t="shared" si="2"/>
        <v>94.5454545454545</v>
      </c>
      <c r="I13" s="34">
        <f t="shared" si="3"/>
        <v>2.36363636363636</v>
      </c>
      <c r="J13" s="44">
        <f t="shared" si="4"/>
        <v>97.2727272727273</v>
      </c>
      <c r="K13" s="45">
        <f t="shared" si="5"/>
        <v>4.86363636363636</v>
      </c>
    </row>
    <row r="14" ht="15.75" spans="1:11">
      <c r="A14" s="13">
        <v>12</v>
      </c>
      <c r="B14" s="49" t="s">
        <v>123</v>
      </c>
      <c r="C14" s="16">
        <v>20</v>
      </c>
      <c r="D14" s="16">
        <v>20</v>
      </c>
      <c r="E14" s="16">
        <f t="shared" si="0"/>
        <v>100</v>
      </c>
      <c r="F14" s="16">
        <f t="shared" si="1"/>
        <v>2.5</v>
      </c>
      <c r="G14" s="16">
        <v>20</v>
      </c>
      <c r="H14" s="34">
        <f t="shared" si="2"/>
        <v>100</v>
      </c>
      <c r="I14" s="34">
        <f t="shared" si="3"/>
        <v>2.5</v>
      </c>
      <c r="J14" s="44">
        <f t="shared" si="4"/>
        <v>100</v>
      </c>
      <c r="K14" s="45">
        <f t="shared" si="5"/>
        <v>5</v>
      </c>
    </row>
    <row r="15" ht="15.75" spans="1:11">
      <c r="A15" s="13">
        <v>13</v>
      </c>
      <c r="B15" s="49" t="s">
        <v>32</v>
      </c>
      <c r="C15" s="16">
        <v>17</v>
      </c>
      <c r="D15" s="16">
        <v>17</v>
      </c>
      <c r="E15" s="16">
        <f t="shared" si="0"/>
        <v>100</v>
      </c>
      <c r="F15" s="16">
        <f t="shared" si="1"/>
        <v>2.5</v>
      </c>
      <c r="G15" s="16">
        <v>17</v>
      </c>
      <c r="H15" s="34">
        <f t="shared" si="2"/>
        <v>100</v>
      </c>
      <c r="I15" s="34">
        <f t="shared" si="3"/>
        <v>2.5</v>
      </c>
      <c r="J15" s="44">
        <f t="shared" si="4"/>
        <v>100</v>
      </c>
      <c r="K15" s="45">
        <f t="shared" si="5"/>
        <v>5</v>
      </c>
    </row>
    <row r="16" ht="15.75" spans="1:11">
      <c r="A16" s="13">
        <v>14</v>
      </c>
      <c r="B16" s="49" t="s">
        <v>16</v>
      </c>
      <c r="C16" s="16">
        <v>24</v>
      </c>
      <c r="D16" s="16">
        <v>24</v>
      </c>
      <c r="E16" s="16">
        <f t="shared" si="0"/>
        <v>100</v>
      </c>
      <c r="F16" s="16">
        <f t="shared" si="1"/>
        <v>2.5</v>
      </c>
      <c r="G16" s="16">
        <v>17</v>
      </c>
      <c r="H16" s="34">
        <f t="shared" si="2"/>
        <v>70.8333333333333</v>
      </c>
      <c r="I16" s="34">
        <f t="shared" si="3"/>
        <v>1.77083333333333</v>
      </c>
      <c r="J16" s="44">
        <f t="shared" si="4"/>
        <v>85.4166666666667</v>
      </c>
      <c r="K16" s="45">
        <f t="shared" si="5"/>
        <v>4.27083333333333</v>
      </c>
    </row>
    <row r="17" ht="15.75" spans="1:11">
      <c r="A17" s="13">
        <v>15</v>
      </c>
      <c r="B17" s="49" t="s">
        <v>124</v>
      </c>
      <c r="C17" s="16">
        <v>22</v>
      </c>
      <c r="D17" s="16">
        <v>22</v>
      </c>
      <c r="E17" s="16">
        <f t="shared" si="0"/>
        <v>100</v>
      </c>
      <c r="F17" s="16">
        <f t="shared" si="1"/>
        <v>2.5</v>
      </c>
      <c r="G17" s="16">
        <v>20</v>
      </c>
      <c r="H17" s="34">
        <f t="shared" si="2"/>
        <v>90.9090909090909</v>
      </c>
      <c r="I17" s="34">
        <f t="shared" si="3"/>
        <v>2.27272727272727</v>
      </c>
      <c r="J17" s="44">
        <f t="shared" si="4"/>
        <v>95.4545454545455</v>
      </c>
      <c r="K17" s="45">
        <f t="shared" si="5"/>
        <v>4.77272727272727</v>
      </c>
    </row>
    <row r="18" ht="15.75" spans="1:11">
      <c r="A18" s="13">
        <v>16</v>
      </c>
      <c r="B18" s="49" t="s">
        <v>13</v>
      </c>
      <c r="C18" s="16">
        <v>27</v>
      </c>
      <c r="D18" s="16">
        <v>27</v>
      </c>
      <c r="E18" s="16">
        <f t="shared" si="0"/>
        <v>100</v>
      </c>
      <c r="F18" s="16">
        <f t="shared" si="1"/>
        <v>2.5</v>
      </c>
      <c r="G18" s="16">
        <v>25</v>
      </c>
      <c r="H18" s="34">
        <f t="shared" si="2"/>
        <v>92.5925925925926</v>
      </c>
      <c r="I18" s="34">
        <f t="shared" si="3"/>
        <v>2.31481481481481</v>
      </c>
      <c r="J18" s="44">
        <f t="shared" si="4"/>
        <v>96.2962962962963</v>
      </c>
      <c r="K18" s="45">
        <f t="shared" si="5"/>
        <v>4.81481481481482</v>
      </c>
    </row>
    <row r="19" ht="15.75" spans="1:11">
      <c r="A19" s="13">
        <v>17</v>
      </c>
      <c r="B19" s="49" t="s">
        <v>12</v>
      </c>
      <c r="C19" s="16">
        <v>19</v>
      </c>
      <c r="D19" s="16">
        <v>19</v>
      </c>
      <c r="E19" s="16">
        <f t="shared" si="0"/>
        <v>100</v>
      </c>
      <c r="F19" s="16">
        <f t="shared" si="1"/>
        <v>2.5</v>
      </c>
      <c r="G19" s="16">
        <v>19</v>
      </c>
      <c r="H19" s="34">
        <f t="shared" si="2"/>
        <v>100</v>
      </c>
      <c r="I19" s="34">
        <f t="shared" si="3"/>
        <v>2.5</v>
      </c>
      <c r="J19" s="44">
        <f t="shared" si="4"/>
        <v>100</v>
      </c>
      <c r="K19" s="45">
        <f t="shared" si="5"/>
        <v>5</v>
      </c>
    </row>
    <row r="20" ht="15.75" spans="1:11">
      <c r="A20" s="13">
        <v>18</v>
      </c>
      <c r="B20" s="49" t="s">
        <v>125</v>
      </c>
      <c r="C20" s="16">
        <v>37</v>
      </c>
      <c r="D20" s="16">
        <v>37</v>
      </c>
      <c r="E20" s="16">
        <f t="shared" si="0"/>
        <v>100</v>
      </c>
      <c r="F20" s="16">
        <f t="shared" si="1"/>
        <v>2.5</v>
      </c>
      <c r="G20" s="16">
        <v>37</v>
      </c>
      <c r="H20" s="34">
        <f t="shared" si="2"/>
        <v>100</v>
      </c>
      <c r="I20" s="34">
        <f t="shared" si="3"/>
        <v>2.5</v>
      </c>
      <c r="J20" s="44">
        <f t="shared" si="4"/>
        <v>100</v>
      </c>
      <c r="K20" s="45">
        <f t="shared" si="5"/>
        <v>5</v>
      </c>
    </row>
    <row r="21" ht="15.75" spans="1:11">
      <c r="A21" s="13">
        <v>19</v>
      </c>
      <c r="B21" s="49" t="s">
        <v>30</v>
      </c>
      <c r="C21" s="16">
        <v>19</v>
      </c>
      <c r="D21" s="16">
        <v>19</v>
      </c>
      <c r="E21" s="16">
        <f t="shared" si="0"/>
        <v>100</v>
      </c>
      <c r="F21" s="16">
        <f t="shared" si="1"/>
        <v>2.5</v>
      </c>
      <c r="G21" s="16">
        <v>19</v>
      </c>
      <c r="H21" s="34">
        <f t="shared" si="2"/>
        <v>100</v>
      </c>
      <c r="I21" s="34">
        <f t="shared" si="3"/>
        <v>2.5</v>
      </c>
      <c r="J21" s="44">
        <f t="shared" si="4"/>
        <v>100</v>
      </c>
      <c r="K21" s="45">
        <f t="shared" si="5"/>
        <v>5</v>
      </c>
    </row>
    <row r="22" ht="15.75" spans="1:11">
      <c r="A22" s="13">
        <v>20</v>
      </c>
      <c r="B22" s="49" t="s">
        <v>15</v>
      </c>
      <c r="C22" s="16">
        <v>21</v>
      </c>
      <c r="D22" s="16">
        <v>21</v>
      </c>
      <c r="E22" s="16">
        <f t="shared" si="0"/>
        <v>100</v>
      </c>
      <c r="F22" s="16">
        <f t="shared" si="1"/>
        <v>2.5</v>
      </c>
      <c r="G22" s="16">
        <v>20</v>
      </c>
      <c r="H22" s="34">
        <f t="shared" si="2"/>
        <v>95.2380952380952</v>
      </c>
      <c r="I22" s="34">
        <f t="shared" si="3"/>
        <v>2.38095238095238</v>
      </c>
      <c r="J22" s="44">
        <f t="shared" si="4"/>
        <v>97.6190476190476</v>
      </c>
      <c r="K22" s="45">
        <f t="shared" si="5"/>
        <v>4.88095238095238</v>
      </c>
    </row>
    <row r="23" ht="15.75" spans="1:11">
      <c r="A23" s="13">
        <v>21</v>
      </c>
      <c r="B23" s="49" t="s">
        <v>17</v>
      </c>
      <c r="C23" s="16">
        <v>15</v>
      </c>
      <c r="D23" s="16">
        <v>15</v>
      </c>
      <c r="E23" s="16">
        <f t="shared" si="0"/>
        <v>100</v>
      </c>
      <c r="F23" s="16">
        <f t="shared" si="1"/>
        <v>2.5</v>
      </c>
      <c r="G23" s="16">
        <v>12</v>
      </c>
      <c r="H23" s="34">
        <f t="shared" si="2"/>
        <v>80</v>
      </c>
      <c r="I23" s="34">
        <f t="shared" si="3"/>
        <v>2</v>
      </c>
      <c r="J23" s="44">
        <f t="shared" si="4"/>
        <v>90</v>
      </c>
      <c r="K23" s="45">
        <f t="shared" si="5"/>
        <v>4.5</v>
      </c>
    </row>
    <row r="24" ht="15.75" spans="1:11">
      <c r="A24" s="13">
        <v>22</v>
      </c>
      <c r="B24" s="49" t="s">
        <v>19</v>
      </c>
      <c r="C24" s="16">
        <v>11</v>
      </c>
      <c r="D24" s="16">
        <v>11</v>
      </c>
      <c r="E24" s="16">
        <f t="shared" si="0"/>
        <v>100</v>
      </c>
      <c r="F24" s="16">
        <f t="shared" si="1"/>
        <v>2.5</v>
      </c>
      <c r="G24" s="16">
        <v>11</v>
      </c>
      <c r="H24" s="34">
        <f t="shared" si="2"/>
        <v>100</v>
      </c>
      <c r="I24" s="34">
        <f t="shared" si="3"/>
        <v>2.5</v>
      </c>
      <c r="J24" s="44">
        <f t="shared" si="4"/>
        <v>100</v>
      </c>
      <c r="K24" s="45">
        <f t="shared" si="5"/>
        <v>5</v>
      </c>
    </row>
    <row r="25" ht="15.75" spans="1:11">
      <c r="A25" s="13">
        <v>23</v>
      </c>
      <c r="B25" s="49" t="s">
        <v>14</v>
      </c>
      <c r="C25" s="16">
        <v>17</v>
      </c>
      <c r="D25" s="16">
        <v>17</v>
      </c>
      <c r="E25" s="16">
        <f t="shared" si="0"/>
        <v>100</v>
      </c>
      <c r="F25" s="16">
        <f t="shared" si="1"/>
        <v>2.5</v>
      </c>
      <c r="G25" s="16">
        <v>15</v>
      </c>
      <c r="H25" s="34">
        <f t="shared" si="2"/>
        <v>88.2352941176471</v>
      </c>
      <c r="I25" s="34">
        <f t="shared" si="3"/>
        <v>2.20588235294118</v>
      </c>
      <c r="J25" s="44">
        <f t="shared" si="4"/>
        <v>94.1176470588235</v>
      </c>
      <c r="K25" s="45">
        <f t="shared" si="5"/>
        <v>4.70588235294118</v>
      </c>
    </row>
    <row r="26" ht="15.75" spans="1:11">
      <c r="A26" s="13">
        <v>24</v>
      </c>
      <c r="B26" s="49" t="s">
        <v>18</v>
      </c>
      <c r="C26" s="16">
        <v>20</v>
      </c>
      <c r="D26" s="16">
        <v>20</v>
      </c>
      <c r="E26" s="16">
        <f t="shared" si="0"/>
        <v>100</v>
      </c>
      <c r="F26" s="16">
        <f t="shared" si="1"/>
        <v>2.5</v>
      </c>
      <c r="G26" s="16">
        <v>19</v>
      </c>
      <c r="H26" s="34">
        <f t="shared" si="2"/>
        <v>95</v>
      </c>
      <c r="I26" s="34">
        <f t="shared" si="3"/>
        <v>2.375</v>
      </c>
      <c r="J26" s="44">
        <f t="shared" si="4"/>
        <v>97.5</v>
      </c>
      <c r="K26" s="45">
        <f t="shared" si="5"/>
        <v>4.875</v>
      </c>
    </row>
    <row r="27" ht="15.75" spans="1:11">
      <c r="A27" s="13">
        <v>25</v>
      </c>
      <c r="B27" s="49" t="s">
        <v>9</v>
      </c>
      <c r="C27" s="16">
        <v>14</v>
      </c>
      <c r="D27" s="16">
        <v>14</v>
      </c>
      <c r="E27" s="16">
        <f t="shared" si="0"/>
        <v>100</v>
      </c>
      <c r="F27" s="16">
        <f t="shared" si="1"/>
        <v>2.5</v>
      </c>
      <c r="G27" s="16">
        <v>14</v>
      </c>
      <c r="H27" s="34">
        <f t="shared" si="2"/>
        <v>100</v>
      </c>
      <c r="I27" s="34">
        <f t="shared" si="3"/>
        <v>2.5</v>
      </c>
      <c r="J27" s="44">
        <f t="shared" si="4"/>
        <v>100</v>
      </c>
      <c r="K27" s="45">
        <f t="shared" si="5"/>
        <v>5</v>
      </c>
    </row>
    <row r="28" ht="15.75" spans="1:11">
      <c r="A28" s="13">
        <v>26</v>
      </c>
      <c r="B28" s="49" t="s">
        <v>29</v>
      </c>
      <c r="C28" s="16">
        <v>11</v>
      </c>
      <c r="D28" s="16">
        <v>11</v>
      </c>
      <c r="E28" s="16">
        <f t="shared" si="0"/>
        <v>100</v>
      </c>
      <c r="F28" s="16">
        <f t="shared" si="1"/>
        <v>2.5</v>
      </c>
      <c r="G28" s="16">
        <v>11</v>
      </c>
      <c r="H28" s="34">
        <f t="shared" si="2"/>
        <v>100</v>
      </c>
      <c r="I28" s="34">
        <f t="shared" si="3"/>
        <v>2.5</v>
      </c>
      <c r="J28" s="44">
        <f t="shared" si="4"/>
        <v>100</v>
      </c>
      <c r="K28" s="45">
        <f t="shared" si="5"/>
        <v>5</v>
      </c>
    </row>
    <row r="29" ht="15.75" spans="1:11">
      <c r="A29" s="13">
        <v>27</v>
      </c>
      <c r="B29" s="49" t="s">
        <v>7</v>
      </c>
      <c r="C29" s="16">
        <v>29</v>
      </c>
      <c r="D29" s="16">
        <v>29</v>
      </c>
      <c r="E29" s="16">
        <f t="shared" si="0"/>
        <v>100</v>
      </c>
      <c r="F29" s="16">
        <f t="shared" si="1"/>
        <v>2.5</v>
      </c>
      <c r="G29" s="16">
        <v>27</v>
      </c>
      <c r="H29" s="34">
        <f t="shared" si="2"/>
        <v>93.1034482758621</v>
      </c>
      <c r="I29" s="34">
        <f t="shared" si="3"/>
        <v>2.32758620689655</v>
      </c>
      <c r="J29" s="44">
        <f t="shared" si="4"/>
        <v>96.551724137931</v>
      </c>
      <c r="K29" s="45">
        <f t="shared" si="5"/>
        <v>4.82758620689655</v>
      </c>
    </row>
    <row r="30" ht="15.75" spans="1:11">
      <c r="A30" s="13">
        <v>28</v>
      </c>
      <c r="B30" s="49" t="s">
        <v>21</v>
      </c>
      <c r="C30" s="16">
        <v>21</v>
      </c>
      <c r="D30" s="16">
        <v>21</v>
      </c>
      <c r="E30" s="16">
        <f t="shared" si="0"/>
        <v>100</v>
      </c>
      <c r="F30" s="16">
        <f t="shared" si="1"/>
        <v>2.5</v>
      </c>
      <c r="G30" s="16">
        <v>21</v>
      </c>
      <c r="H30" s="34">
        <f t="shared" si="2"/>
        <v>100</v>
      </c>
      <c r="I30" s="34">
        <f t="shared" si="3"/>
        <v>2.5</v>
      </c>
      <c r="J30" s="44">
        <f t="shared" si="4"/>
        <v>100</v>
      </c>
      <c r="K30" s="45">
        <f t="shared" si="5"/>
        <v>5</v>
      </c>
    </row>
    <row r="31" s="2" customFormat="1" ht="15.75" spans="1:11">
      <c r="A31" s="19" t="s">
        <v>126</v>
      </c>
      <c r="B31" s="35" t="s">
        <v>35</v>
      </c>
      <c r="C31" s="36">
        <f>SUM(C3:C30)</f>
        <v>657</v>
      </c>
      <c r="D31" s="36">
        <f>SUM(D3:D30)</f>
        <v>657</v>
      </c>
      <c r="E31" s="16">
        <f t="shared" si="0"/>
        <v>100</v>
      </c>
      <c r="F31" s="16">
        <f t="shared" si="1"/>
        <v>2.5</v>
      </c>
      <c r="G31" s="36">
        <f>SUM(G3:G30)</f>
        <v>624</v>
      </c>
      <c r="H31" s="34">
        <f t="shared" si="2"/>
        <v>94.9771689497717</v>
      </c>
      <c r="I31" s="34">
        <f t="shared" si="3"/>
        <v>2.37442922374429</v>
      </c>
      <c r="J31" s="44">
        <f t="shared" si="4"/>
        <v>97.4885844748858</v>
      </c>
      <c r="K31" s="45">
        <f>F31+I31</f>
        <v>4.87442922374429</v>
      </c>
    </row>
  </sheetData>
  <mergeCells count="1">
    <mergeCell ref="A1:K1"/>
  </mergeCells>
  <pageMargins left="0.511805555555556" right="0.314583333333333" top="0.472222222222222" bottom="0.629861111111111" header="0.275" footer="0.393055555555556"/>
  <pageSetup paperSize="1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N29" sqref="N29"/>
    </sheetView>
  </sheetViews>
  <sheetFormatPr defaultColWidth="9.14285714285714" defaultRowHeight="15" outlineLevelCol="7"/>
  <cols>
    <col min="1" max="1" width="8" customWidth="1"/>
    <col min="2" max="2" width="26" customWidth="1"/>
    <col min="3" max="3" width="6.85714285714286" customWidth="1"/>
    <col min="4" max="4" width="9.42857142857143" customWidth="1"/>
    <col min="5" max="5" width="9.57142857142857" customWidth="1"/>
    <col min="6" max="6" width="10.2857142857143" customWidth="1"/>
    <col min="7" max="7" width="11.1428571428571" customWidth="1"/>
    <col min="8" max="8" width="11.6571428571429" customWidth="1"/>
  </cols>
  <sheetData>
    <row r="1" ht="29" customHeight="1" spans="1:8">
      <c r="A1" s="47" t="s">
        <v>135</v>
      </c>
      <c r="B1" s="47"/>
      <c r="C1" s="47"/>
      <c r="D1" s="47"/>
      <c r="E1" s="47"/>
      <c r="F1" s="47"/>
      <c r="G1" s="47"/>
      <c r="H1" s="47"/>
    </row>
    <row r="2" ht="45" spans="1:8">
      <c r="A2" s="27" t="s">
        <v>1</v>
      </c>
      <c r="B2" s="28" t="s">
        <v>110</v>
      </c>
      <c r="C2" s="48" t="s">
        <v>136</v>
      </c>
      <c r="D2" s="48" t="s">
        <v>137</v>
      </c>
      <c r="E2" s="48" t="s">
        <v>138</v>
      </c>
      <c r="F2" s="48" t="s">
        <v>139</v>
      </c>
      <c r="G2" s="41" t="s">
        <v>5</v>
      </c>
      <c r="H2" s="41" t="s">
        <v>6</v>
      </c>
    </row>
    <row r="3" ht="15.75" spans="1:8">
      <c r="A3" s="13">
        <v>1</v>
      </c>
      <c r="B3" s="49" t="s">
        <v>119</v>
      </c>
      <c r="C3" s="16">
        <v>0</v>
      </c>
      <c r="D3" s="16">
        <v>0</v>
      </c>
      <c r="E3" s="16">
        <v>0</v>
      </c>
      <c r="F3" s="50" t="str">
        <f>C3&amp;":"&amp;D3&amp;":"&amp;E3</f>
        <v>0:0:0</v>
      </c>
      <c r="G3" s="44">
        <f>IFERROR((F3-MIN($F$3:$F$30))*100/(MAX($F$3:$F$30)-MIN($F$3:$F$30)),0)</f>
        <v>0</v>
      </c>
      <c r="H3" s="45">
        <f>G3*0.05</f>
        <v>0</v>
      </c>
    </row>
    <row r="4" ht="15.75" spans="1:8">
      <c r="A4" s="13">
        <v>2</v>
      </c>
      <c r="B4" s="49" t="s">
        <v>31</v>
      </c>
      <c r="C4" s="16">
        <v>0</v>
      </c>
      <c r="D4" s="16">
        <v>0</v>
      </c>
      <c r="E4" s="16">
        <v>0</v>
      </c>
      <c r="F4" s="50" t="str">
        <f t="shared" ref="F4:F31" si="0">C4&amp;":"&amp;D4&amp;":"&amp;E4</f>
        <v>0:0:0</v>
      </c>
      <c r="G4" s="44">
        <f t="shared" ref="G4:G31" si="1">IFERROR((F4-MIN($F$3:$F$30))*100/(MAX($F$3:$F$30)-MIN($F$3:$F$30)),0)</f>
        <v>0</v>
      </c>
      <c r="H4" s="45">
        <f t="shared" ref="H4:H31" si="2">G4*0.05</f>
        <v>0</v>
      </c>
    </row>
    <row r="5" ht="15.75" spans="1:8">
      <c r="A5" s="13">
        <v>3</v>
      </c>
      <c r="B5" s="49" t="s">
        <v>28</v>
      </c>
      <c r="C5" s="16">
        <v>0</v>
      </c>
      <c r="D5" s="16">
        <v>0</v>
      </c>
      <c r="E5" s="16">
        <v>0</v>
      </c>
      <c r="F5" s="50" t="str">
        <f t="shared" si="0"/>
        <v>0:0:0</v>
      </c>
      <c r="G5" s="44">
        <f t="shared" si="1"/>
        <v>0</v>
      </c>
      <c r="H5" s="45">
        <f t="shared" si="2"/>
        <v>0</v>
      </c>
    </row>
    <row r="6" ht="15.75" spans="1:8">
      <c r="A6" s="13">
        <v>4</v>
      </c>
      <c r="B6" s="49" t="s">
        <v>33</v>
      </c>
      <c r="C6" s="16">
        <v>0</v>
      </c>
      <c r="D6" s="16">
        <v>0</v>
      </c>
      <c r="E6" s="16">
        <v>0</v>
      </c>
      <c r="F6" s="50" t="str">
        <f t="shared" si="0"/>
        <v>0:0:0</v>
      </c>
      <c r="G6" s="44">
        <f t="shared" si="1"/>
        <v>0</v>
      </c>
      <c r="H6" s="45">
        <f t="shared" si="2"/>
        <v>0</v>
      </c>
    </row>
    <row r="7" ht="15.75" spans="1:8">
      <c r="A7" s="13">
        <v>5</v>
      </c>
      <c r="B7" s="49" t="s">
        <v>34</v>
      </c>
      <c r="C7" s="16">
        <v>0</v>
      </c>
      <c r="D7" s="16">
        <v>0</v>
      </c>
      <c r="E7" s="16">
        <v>0</v>
      </c>
      <c r="F7" s="50" t="str">
        <f t="shared" si="0"/>
        <v>0:0:0</v>
      </c>
      <c r="G7" s="44">
        <f t="shared" si="1"/>
        <v>0</v>
      </c>
      <c r="H7" s="45">
        <f t="shared" si="2"/>
        <v>0</v>
      </c>
    </row>
    <row r="8" ht="15.75" spans="1:8">
      <c r="A8" s="13">
        <v>6</v>
      </c>
      <c r="B8" s="49" t="s">
        <v>24</v>
      </c>
      <c r="C8" s="16">
        <v>0</v>
      </c>
      <c r="D8" s="16">
        <v>0</v>
      </c>
      <c r="E8" s="16">
        <v>0</v>
      </c>
      <c r="F8" s="50" t="str">
        <f t="shared" si="0"/>
        <v>0:0:0</v>
      </c>
      <c r="G8" s="44">
        <f t="shared" si="1"/>
        <v>0</v>
      </c>
      <c r="H8" s="45">
        <f t="shared" si="2"/>
        <v>0</v>
      </c>
    </row>
    <row r="9" ht="15.75" spans="1:8">
      <c r="A9" s="13">
        <v>7</v>
      </c>
      <c r="B9" s="49" t="s">
        <v>120</v>
      </c>
      <c r="C9" s="16">
        <v>0</v>
      </c>
      <c r="D9" s="16">
        <v>0</v>
      </c>
      <c r="E9" s="16">
        <v>0</v>
      </c>
      <c r="F9" s="50" t="str">
        <f t="shared" si="0"/>
        <v>0:0:0</v>
      </c>
      <c r="G9" s="44">
        <f t="shared" si="1"/>
        <v>0</v>
      </c>
      <c r="H9" s="45">
        <f t="shared" si="2"/>
        <v>0</v>
      </c>
    </row>
    <row r="10" ht="15.75" spans="1:8">
      <c r="A10" s="13">
        <v>8</v>
      </c>
      <c r="B10" s="49" t="s">
        <v>25</v>
      </c>
      <c r="C10" s="16">
        <v>0</v>
      </c>
      <c r="D10" s="16">
        <v>0</v>
      </c>
      <c r="E10" s="16">
        <v>0</v>
      </c>
      <c r="F10" s="50" t="str">
        <f t="shared" si="0"/>
        <v>0:0:0</v>
      </c>
      <c r="G10" s="44">
        <f t="shared" si="1"/>
        <v>0</v>
      </c>
      <c r="H10" s="45">
        <f t="shared" si="2"/>
        <v>0</v>
      </c>
    </row>
    <row r="11" ht="15.75" spans="1:8">
      <c r="A11" s="13">
        <v>9</v>
      </c>
      <c r="B11" s="49" t="s">
        <v>27</v>
      </c>
      <c r="C11" s="16">
        <v>0</v>
      </c>
      <c r="D11" s="16">
        <v>0</v>
      </c>
      <c r="E11" s="16">
        <v>0</v>
      </c>
      <c r="F11" s="50" t="str">
        <f t="shared" si="0"/>
        <v>0:0:0</v>
      </c>
      <c r="G11" s="44">
        <f t="shared" si="1"/>
        <v>0</v>
      </c>
      <c r="H11" s="45">
        <f t="shared" si="2"/>
        <v>0</v>
      </c>
    </row>
    <row r="12" ht="15.75" spans="1:8">
      <c r="A12" s="13">
        <v>10</v>
      </c>
      <c r="B12" s="49" t="s">
        <v>121</v>
      </c>
      <c r="C12" s="16">
        <v>0</v>
      </c>
      <c r="D12" s="16">
        <v>0</v>
      </c>
      <c r="E12" s="16">
        <v>0</v>
      </c>
      <c r="F12" s="50" t="str">
        <f t="shared" si="0"/>
        <v>0:0:0</v>
      </c>
      <c r="G12" s="44">
        <f t="shared" si="1"/>
        <v>0</v>
      </c>
      <c r="H12" s="45">
        <f t="shared" si="2"/>
        <v>0</v>
      </c>
    </row>
    <row r="13" ht="15.75" spans="1:8">
      <c r="A13" s="13">
        <v>11</v>
      </c>
      <c r="B13" s="49" t="s">
        <v>122</v>
      </c>
      <c r="C13" s="16">
        <v>0</v>
      </c>
      <c r="D13" s="16">
        <v>0</v>
      </c>
      <c r="E13" s="16">
        <v>0</v>
      </c>
      <c r="F13" s="50" t="str">
        <f t="shared" si="0"/>
        <v>0:0:0</v>
      </c>
      <c r="G13" s="44">
        <f t="shared" si="1"/>
        <v>0</v>
      </c>
      <c r="H13" s="45">
        <f t="shared" si="2"/>
        <v>0</v>
      </c>
    </row>
    <row r="14" ht="15.75" spans="1:8">
      <c r="A14" s="13">
        <v>12</v>
      </c>
      <c r="B14" s="49" t="s">
        <v>123</v>
      </c>
      <c r="C14" s="16">
        <v>0</v>
      </c>
      <c r="D14" s="16">
        <v>0</v>
      </c>
      <c r="E14" s="16">
        <v>0</v>
      </c>
      <c r="F14" s="50" t="str">
        <f t="shared" si="0"/>
        <v>0:0:0</v>
      </c>
      <c r="G14" s="44">
        <f t="shared" si="1"/>
        <v>0</v>
      </c>
      <c r="H14" s="45">
        <f t="shared" si="2"/>
        <v>0</v>
      </c>
    </row>
    <row r="15" ht="15.75" spans="1:8">
      <c r="A15" s="13">
        <v>13</v>
      </c>
      <c r="B15" s="49" t="s">
        <v>32</v>
      </c>
      <c r="C15" s="16">
        <v>0</v>
      </c>
      <c r="D15" s="16">
        <v>0</v>
      </c>
      <c r="E15" s="16">
        <v>0</v>
      </c>
      <c r="F15" s="50" t="str">
        <f t="shared" si="0"/>
        <v>0:0:0</v>
      </c>
      <c r="G15" s="44">
        <f t="shared" si="1"/>
        <v>0</v>
      </c>
      <c r="H15" s="45">
        <f t="shared" si="2"/>
        <v>0</v>
      </c>
    </row>
    <row r="16" ht="15.75" spans="1:8">
      <c r="A16" s="13">
        <v>14</v>
      </c>
      <c r="B16" s="49" t="s">
        <v>16</v>
      </c>
      <c r="C16" s="16">
        <v>0</v>
      </c>
      <c r="D16" s="16">
        <v>0</v>
      </c>
      <c r="E16" s="16">
        <v>0</v>
      </c>
      <c r="F16" s="50" t="str">
        <f t="shared" si="0"/>
        <v>0:0:0</v>
      </c>
      <c r="G16" s="44">
        <f t="shared" si="1"/>
        <v>0</v>
      </c>
      <c r="H16" s="45">
        <f t="shared" si="2"/>
        <v>0</v>
      </c>
    </row>
    <row r="17" ht="15.75" spans="1:8">
      <c r="A17" s="13">
        <v>15</v>
      </c>
      <c r="B17" s="49" t="s">
        <v>124</v>
      </c>
      <c r="C17" s="16">
        <v>0</v>
      </c>
      <c r="D17" s="16">
        <v>0</v>
      </c>
      <c r="E17" s="16">
        <v>0</v>
      </c>
      <c r="F17" s="50" t="str">
        <f t="shared" si="0"/>
        <v>0:0:0</v>
      </c>
      <c r="G17" s="44">
        <f t="shared" si="1"/>
        <v>0</v>
      </c>
      <c r="H17" s="45">
        <f t="shared" si="2"/>
        <v>0</v>
      </c>
    </row>
    <row r="18" ht="15.75" spans="1:8">
      <c r="A18" s="13">
        <v>16</v>
      </c>
      <c r="B18" s="49" t="s">
        <v>13</v>
      </c>
      <c r="C18" s="16">
        <v>0</v>
      </c>
      <c r="D18" s="16">
        <v>0</v>
      </c>
      <c r="E18" s="16">
        <v>0</v>
      </c>
      <c r="F18" s="50" t="str">
        <f t="shared" si="0"/>
        <v>0:0:0</v>
      </c>
      <c r="G18" s="44">
        <f t="shared" si="1"/>
        <v>0</v>
      </c>
      <c r="H18" s="45">
        <f t="shared" si="2"/>
        <v>0</v>
      </c>
    </row>
    <row r="19" ht="15.75" spans="1:8">
      <c r="A19" s="13">
        <v>17</v>
      </c>
      <c r="B19" s="49" t="s">
        <v>12</v>
      </c>
      <c r="C19" s="16">
        <v>0</v>
      </c>
      <c r="D19" s="16">
        <v>0</v>
      </c>
      <c r="E19" s="16">
        <v>0</v>
      </c>
      <c r="F19" s="50" t="str">
        <f t="shared" si="0"/>
        <v>0:0:0</v>
      </c>
      <c r="G19" s="44">
        <f t="shared" si="1"/>
        <v>0</v>
      </c>
      <c r="H19" s="45">
        <f t="shared" si="2"/>
        <v>0</v>
      </c>
    </row>
    <row r="20" ht="15.75" spans="1:8">
      <c r="A20" s="13">
        <v>18</v>
      </c>
      <c r="B20" s="49" t="s">
        <v>125</v>
      </c>
      <c r="C20" s="16">
        <v>0</v>
      </c>
      <c r="D20" s="16">
        <v>0</v>
      </c>
      <c r="E20" s="16">
        <v>0</v>
      </c>
      <c r="F20" s="50" t="str">
        <f t="shared" si="0"/>
        <v>0:0:0</v>
      </c>
      <c r="G20" s="44">
        <f t="shared" si="1"/>
        <v>0</v>
      </c>
      <c r="H20" s="45">
        <f t="shared" si="2"/>
        <v>0</v>
      </c>
    </row>
    <row r="21" ht="15.75" spans="1:8">
      <c r="A21" s="13">
        <v>19</v>
      </c>
      <c r="B21" s="49" t="s">
        <v>30</v>
      </c>
      <c r="C21" s="16">
        <v>0</v>
      </c>
      <c r="D21" s="16">
        <v>0</v>
      </c>
      <c r="E21" s="16">
        <v>0</v>
      </c>
      <c r="F21" s="50" t="str">
        <f t="shared" si="0"/>
        <v>0:0:0</v>
      </c>
      <c r="G21" s="44">
        <f t="shared" si="1"/>
        <v>0</v>
      </c>
      <c r="H21" s="45">
        <f t="shared" si="2"/>
        <v>0</v>
      </c>
    </row>
    <row r="22" ht="15.75" spans="1:8">
      <c r="A22" s="13">
        <v>20</v>
      </c>
      <c r="B22" s="49" t="s">
        <v>15</v>
      </c>
      <c r="C22" s="16">
        <v>0</v>
      </c>
      <c r="D22" s="16">
        <v>0</v>
      </c>
      <c r="E22" s="16">
        <v>0</v>
      </c>
      <c r="F22" s="50" t="str">
        <f t="shared" si="0"/>
        <v>0:0:0</v>
      </c>
      <c r="G22" s="44">
        <f t="shared" si="1"/>
        <v>0</v>
      </c>
      <c r="H22" s="45">
        <f t="shared" si="2"/>
        <v>0</v>
      </c>
    </row>
    <row r="23" ht="15.75" spans="1:8">
      <c r="A23" s="13">
        <v>21</v>
      </c>
      <c r="B23" s="49" t="s">
        <v>17</v>
      </c>
      <c r="C23" s="16">
        <v>0</v>
      </c>
      <c r="D23" s="16">
        <v>0</v>
      </c>
      <c r="E23" s="16">
        <v>0</v>
      </c>
      <c r="F23" s="50" t="str">
        <f t="shared" si="0"/>
        <v>0:0:0</v>
      </c>
      <c r="G23" s="44">
        <f t="shared" si="1"/>
        <v>0</v>
      </c>
      <c r="H23" s="45">
        <f t="shared" si="2"/>
        <v>0</v>
      </c>
    </row>
    <row r="24" ht="15.75" spans="1:8">
      <c r="A24" s="13">
        <v>22</v>
      </c>
      <c r="B24" s="49" t="s">
        <v>19</v>
      </c>
      <c r="C24" s="16">
        <v>0</v>
      </c>
      <c r="D24" s="16">
        <v>0</v>
      </c>
      <c r="E24" s="16">
        <v>0</v>
      </c>
      <c r="F24" s="50" t="str">
        <f t="shared" si="0"/>
        <v>0:0:0</v>
      </c>
      <c r="G24" s="44">
        <f t="shared" si="1"/>
        <v>0</v>
      </c>
      <c r="H24" s="45">
        <f t="shared" si="2"/>
        <v>0</v>
      </c>
    </row>
    <row r="25" ht="15.75" spans="1:8">
      <c r="A25" s="13">
        <v>23</v>
      </c>
      <c r="B25" s="49" t="s">
        <v>14</v>
      </c>
      <c r="C25" s="16">
        <v>0</v>
      </c>
      <c r="D25" s="16">
        <v>0</v>
      </c>
      <c r="E25" s="16">
        <v>0</v>
      </c>
      <c r="F25" s="50" t="str">
        <f t="shared" si="0"/>
        <v>0:0:0</v>
      </c>
      <c r="G25" s="44">
        <f t="shared" si="1"/>
        <v>0</v>
      </c>
      <c r="H25" s="45">
        <f t="shared" si="2"/>
        <v>0</v>
      </c>
    </row>
    <row r="26" ht="15.75" spans="1:8">
      <c r="A26" s="13">
        <v>24</v>
      </c>
      <c r="B26" s="49" t="s">
        <v>18</v>
      </c>
      <c r="C26" s="16">
        <v>0</v>
      </c>
      <c r="D26" s="16">
        <v>0</v>
      </c>
      <c r="E26" s="16">
        <v>0</v>
      </c>
      <c r="F26" s="50" t="str">
        <f t="shared" si="0"/>
        <v>0:0:0</v>
      </c>
      <c r="G26" s="44">
        <f t="shared" si="1"/>
        <v>0</v>
      </c>
      <c r="H26" s="45">
        <f t="shared" si="2"/>
        <v>0</v>
      </c>
    </row>
    <row r="27" ht="15.75" spans="1:8">
      <c r="A27" s="13">
        <v>25</v>
      </c>
      <c r="B27" s="49" t="s">
        <v>9</v>
      </c>
      <c r="C27" s="16">
        <v>0</v>
      </c>
      <c r="D27" s="16">
        <v>0</v>
      </c>
      <c r="E27" s="16">
        <v>0</v>
      </c>
      <c r="F27" s="50" t="str">
        <f t="shared" si="0"/>
        <v>0:0:0</v>
      </c>
      <c r="G27" s="44">
        <f t="shared" si="1"/>
        <v>0</v>
      </c>
      <c r="H27" s="45">
        <f t="shared" si="2"/>
        <v>0</v>
      </c>
    </row>
    <row r="28" ht="15.75" spans="1:8">
      <c r="A28" s="13">
        <v>26</v>
      </c>
      <c r="B28" s="49" t="s">
        <v>29</v>
      </c>
      <c r="C28" s="16">
        <v>0</v>
      </c>
      <c r="D28" s="16">
        <v>0</v>
      </c>
      <c r="E28" s="16">
        <v>0</v>
      </c>
      <c r="F28" s="50" t="str">
        <f t="shared" si="0"/>
        <v>0:0:0</v>
      </c>
      <c r="G28" s="44">
        <f t="shared" si="1"/>
        <v>0</v>
      </c>
      <c r="H28" s="45">
        <f t="shared" si="2"/>
        <v>0</v>
      </c>
    </row>
    <row r="29" ht="15.75" spans="1:8">
      <c r="A29" s="13">
        <v>27</v>
      </c>
      <c r="B29" s="49" t="s">
        <v>7</v>
      </c>
      <c r="C29" s="16">
        <v>0</v>
      </c>
      <c r="D29" s="16">
        <v>0</v>
      </c>
      <c r="E29" s="16">
        <v>0</v>
      </c>
      <c r="F29" s="50" t="str">
        <f t="shared" si="0"/>
        <v>0:0:0</v>
      </c>
      <c r="G29" s="44">
        <f t="shared" si="1"/>
        <v>0</v>
      </c>
      <c r="H29" s="45">
        <f t="shared" si="2"/>
        <v>0</v>
      </c>
    </row>
    <row r="30" ht="15.75" spans="1:8">
      <c r="A30" s="13">
        <v>28</v>
      </c>
      <c r="B30" s="49" t="s">
        <v>21</v>
      </c>
      <c r="C30" s="16">
        <v>0</v>
      </c>
      <c r="D30" s="16">
        <v>0</v>
      </c>
      <c r="E30" s="16">
        <v>0</v>
      </c>
      <c r="F30" s="50" t="str">
        <f t="shared" si="0"/>
        <v>0:0:0</v>
      </c>
      <c r="G30" s="44">
        <f t="shared" si="1"/>
        <v>0</v>
      </c>
      <c r="H30" s="45">
        <f t="shared" si="2"/>
        <v>0</v>
      </c>
    </row>
    <row r="31" s="2" customFormat="1" ht="15.75" spans="1:8">
      <c r="A31" s="19" t="s">
        <v>126</v>
      </c>
      <c r="B31" s="35" t="s">
        <v>35</v>
      </c>
      <c r="C31" s="36">
        <f>SUM(C3:C30)</f>
        <v>0</v>
      </c>
      <c r="D31" s="36">
        <f>SUM(D3:D30)</f>
        <v>0</v>
      </c>
      <c r="E31" s="36">
        <f>SUM(E3:E30)</f>
        <v>0</v>
      </c>
      <c r="F31" s="50" t="str">
        <f t="shared" si="0"/>
        <v>0:0:0</v>
      </c>
      <c r="G31" s="44">
        <f t="shared" si="1"/>
        <v>0</v>
      </c>
      <c r="H31" s="45">
        <f t="shared" si="2"/>
        <v>0</v>
      </c>
    </row>
  </sheetData>
  <mergeCells count="1">
    <mergeCell ref="A1:H1"/>
  </mergeCells>
  <pageMargins left="0.75" right="0.314583333333333" top="1" bottom="1" header="0.5" footer="0.5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K18" sqref="K18"/>
    </sheetView>
  </sheetViews>
  <sheetFormatPr defaultColWidth="9.14285714285714" defaultRowHeight="15" outlineLevelCol="6"/>
  <cols>
    <col min="1" max="1" width="8" customWidth="1"/>
    <col min="2" max="2" width="27.2857142857143" customWidth="1"/>
    <col min="3" max="3" width="10.2857142857143" style="25" customWidth="1"/>
    <col min="4" max="4" width="10.8571428571429" style="25" customWidth="1"/>
    <col min="5" max="5" width="14" style="25" customWidth="1"/>
    <col min="6" max="6" width="10.5714285714286" customWidth="1"/>
    <col min="7" max="7" width="11.2857142857143" customWidth="1"/>
  </cols>
  <sheetData>
    <row r="1" ht="43" customHeight="1" spans="1:7">
      <c r="A1" s="39" t="s">
        <v>140</v>
      </c>
      <c r="B1" s="39"/>
      <c r="C1" s="39"/>
      <c r="D1" s="39"/>
      <c r="E1" s="39"/>
      <c r="F1" s="39"/>
      <c r="G1" s="39"/>
    </row>
    <row r="2" ht="42.75" spans="1:7">
      <c r="A2" s="27" t="s">
        <v>1</v>
      </c>
      <c r="B2" s="28" t="s">
        <v>110</v>
      </c>
      <c r="C2" s="40" t="s">
        <v>141</v>
      </c>
      <c r="D2" s="40" t="s">
        <v>142</v>
      </c>
      <c r="E2" s="40" t="s">
        <v>143</v>
      </c>
      <c r="F2" s="41" t="s">
        <v>5</v>
      </c>
      <c r="G2" s="41" t="s">
        <v>6</v>
      </c>
    </row>
    <row r="3" ht="15.75" spans="1:7">
      <c r="A3" s="13">
        <v>1</v>
      </c>
      <c r="B3" s="42" t="s">
        <v>20</v>
      </c>
      <c r="C3" s="43">
        <v>5</v>
      </c>
      <c r="D3" s="43">
        <v>5</v>
      </c>
      <c r="E3" s="43">
        <v>0</v>
      </c>
      <c r="F3" s="44">
        <f>IFERROR(D3/C3*100,0)</f>
        <v>100</v>
      </c>
      <c r="G3" s="45">
        <f>F3*0.05</f>
        <v>5</v>
      </c>
    </row>
    <row r="4" ht="15.75" spans="1:7">
      <c r="A4" s="13">
        <v>2</v>
      </c>
      <c r="B4" s="42" t="s">
        <v>10</v>
      </c>
      <c r="C4" s="43">
        <v>6</v>
      </c>
      <c r="D4" s="43">
        <v>6</v>
      </c>
      <c r="E4" s="43">
        <v>0</v>
      </c>
      <c r="F4" s="44">
        <f t="shared" ref="F4:F31" si="0">IFERROR(D4/C4*100,0)</f>
        <v>100</v>
      </c>
      <c r="G4" s="45">
        <f t="shared" ref="G4:G31" si="1">F4*0.05</f>
        <v>5</v>
      </c>
    </row>
    <row r="5" ht="15.75" spans="1:7">
      <c r="A5" s="13">
        <v>3</v>
      </c>
      <c r="B5" s="42" t="s">
        <v>8</v>
      </c>
      <c r="C5" s="43">
        <v>5</v>
      </c>
      <c r="D5" s="43">
        <v>5</v>
      </c>
      <c r="E5" s="43">
        <v>0</v>
      </c>
      <c r="F5" s="44">
        <f t="shared" si="0"/>
        <v>100</v>
      </c>
      <c r="G5" s="45">
        <f t="shared" si="1"/>
        <v>5</v>
      </c>
    </row>
    <row r="6" ht="15.75" spans="1:7">
      <c r="A6" s="13">
        <v>4</v>
      </c>
      <c r="B6" s="42" t="s">
        <v>13</v>
      </c>
      <c r="C6" s="43">
        <v>3</v>
      </c>
      <c r="D6" s="43">
        <v>3</v>
      </c>
      <c r="E6" s="43">
        <v>0</v>
      </c>
      <c r="F6" s="44">
        <f t="shared" si="0"/>
        <v>100</v>
      </c>
      <c r="G6" s="45">
        <f t="shared" si="1"/>
        <v>5</v>
      </c>
    </row>
    <row r="7" ht="15.75" spans="1:7">
      <c r="A7" s="13">
        <v>5</v>
      </c>
      <c r="B7" s="42" t="s">
        <v>12</v>
      </c>
      <c r="C7" s="43">
        <v>3</v>
      </c>
      <c r="D7" s="43">
        <v>3</v>
      </c>
      <c r="E7" s="43">
        <v>0</v>
      </c>
      <c r="F7" s="44">
        <f t="shared" si="0"/>
        <v>100</v>
      </c>
      <c r="G7" s="45">
        <f t="shared" si="1"/>
        <v>5</v>
      </c>
    </row>
    <row r="8" ht="15.75" spans="1:7">
      <c r="A8" s="13">
        <v>6</v>
      </c>
      <c r="B8" s="42" t="s">
        <v>11</v>
      </c>
      <c r="C8" s="43">
        <v>4</v>
      </c>
      <c r="D8" s="43">
        <v>4</v>
      </c>
      <c r="E8" s="43">
        <v>0</v>
      </c>
      <c r="F8" s="44">
        <f t="shared" si="0"/>
        <v>100</v>
      </c>
      <c r="G8" s="45">
        <f t="shared" si="1"/>
        <v>5</v>
      </c>
    </row>
    <row r="9" ht="15.75" spans="1:7">
      <c r="A9" s="13">
        <v>7</v>
      </c>
      <c r="B9" s="42" t="s">
        <v>16</v>
      </c>
      <c r="C9" s="43">
        <v>3</v>
      </c>
      <c r="D9" s="43">
        <v>3</v>
      </c>
      <c r="E9" s="43">
        <v>0</v>
      </c>
      <c r="F9" s="44">
        <f t="shared" si="0"/>
        <v>100</v>
      </c>
      <c r="G9" s="45">
        <f t="shared" si="1"/>
        <v>5</v>
      </c>
    </row>
    <row r="10" ht="15.75" spans="1:7">
      <c r="A10" s="13">
        <v>8</v>
      </c>
      <c r="B10" s="42" t="s">
        <v>15</v>
      </c>
      <c r="C10" s="43">
        <v>5</v>
      </c>
      <c r="D10" s="43">
        <v>5</v>
      </c>
      <c r="E10" s="43">
        <v>0</v>
      </c>
      <c r="F10" s="44">
        <f t="shared" si="0"/>
        <v>100</v>
      </c>
      <c r="G10" s="45">
        <f t="shared" si="1"/>
        <v>5</v>
      </c>
    </row>
    <row r="11" ht="15.75" spans="1:7">
      <c r="A11" s="13">
        <v>9</v>
      </c>
      <c r="B11" s="42" t="s">
        <v>14</v>
      </c>
      <c r="C11" s="43">
        <v>3</v>
      </c>
      <c r="D11" s="43">
        <v>3</v>
      </c>
      <c r="E11" s="43">
        <v>0</v>
      </c>
      <c r="F11" s="44">
        <f t="shared" si="0"/>
        <v>100</v>
      </c>
      <c r="G11" s="45">
        <f t="shared" si="1"/>
        <v>5</v>
      </c>
    </row>
    <row r="12" ht="15.75" spans="1:7">
      <c r="A12" s="13">
        <v>10</v>
      </c>
      <c r="B12" s="42" t="s">
        <v>27</v>
      </c>
      <c r="C12" s="43">
        <v>3</v>
      </c>
      <c r="D12" s="43">
        <v>3</v>
      </c>
      <c r="E12" s="43">
        <v>0</v>
      </c>
      <c r="F12" s="44">
        <f t="shared" si="0"/>
        <v>100</v>
      </c>
      <c r="G12" s="45">
        <f t="shared" si="1"/>
        <v>5</v>
      </c>
    </row>
    <row r="13" ht="15.75" spans="1:7">
      <c r="A13" s="13">
        <v>11</v>
      </c>
      <c r="B13" s="42" t="s">
        <v>19</v>
      </c>
      <c r="C13" s="43">
        <v>3</v>
      </c>
      <c r="D13" s="43">
        <v>2</v>
      </c>
      <c r="E13" s="43">
        <v>1</v>
      </c>
      <c r="F13" s="44">
        <f t="shared" si="0"/>
        <v>66.6666666666667</v>
      </c>
      <c r="G13" s="45">
        <f t="shared" si="1"/>
        <v>3.33333333333333</v>
      </c>
    </row>
    <row r="14" ht="15.75" spans="1:7">
      <c r="A14" s="13">
        <v>12</v>
      </c>
      <c r="B14" s="42" t="s">
        <v>21</v>
      </c>
      <c r="C14" s="43">
        <v>3</v>
      </c>
      <c r="D14" s="43">
        <v>3</v>
      </c>
      <c r="E14" s="43">
        <v>0</v>
      </c>
      <c r="F14" s="44">
        <f t="shared" si="0"/>
        <v>100</v>
      </c>
      <c r="G14" s="45">
        <f t="shared" si="1"/>
        <v>5</v>
      </c>
    </row>
    <row r="15" ht="15.75" spans="1:7">
      <c r="A15" s="13">
        <v>13</v>
      </c>
      <c r="B15" s="42" t="s">
        <v>7</v>
      </c>
      <c r="C15" s="43">
        <v>4</v>
      </c>
      <c r="D15" s="43">
        <v>4</v>
      </c>
      <c r="E15" s="43">
        <v>0</v>
      </c>
      <c r="F15" s="44">
        <f t="shared" si="0"/>
        <v>100</v>
      </c>
      <c r="G15" s="45">
        <f t="shared" si="1"/>
        <v>5</v>
      </c>
    </row>
    <row r="16" ht="15.75" spans="1:7">
      <c r="A16" s="13">
        <v>14</v>
      </c>
      <c r="B16" s="42" t="s">
        <v>18</v>
      </c>
      <c r="C16" s="43">
        <v>3</v>
      </c>
      <c r="D16" s="43">
        <v>3</v>
      </c>
      <c r="E16" s="43">
        <v>0</v>
      </c>
      <c r="F16" s="44">
        <f t="shared" si="0"/>
        <v>100</v>
      </c>
      <c r="G16" s="45">
        <f t="shared" si="1"/>
        <v>5</v>
      </c>
    </row>
    <row r="17" ht="15.75" spans="1:7">
      <c r="A17" s="13">
        <v>15</v>
      </c>
      <c r="B17" s="42" t="s">
        <v>9</v>
      </c>
      <c r="C17" s="43">
        <v>2</v>
      </c>
      <c r="D17" s="43">
        <v>2</v>
      </c>
      <c r="E17" s="43">
        <v>0</v>
      </c>
      <c r="F17" s="44">
        <f t="shared" si="0"/>
        <v>100</v>
      </c>
      <c r="G17" s="45">
        <f t="shared" si="1"/>
        <v>5</v>
      </c>
    </row>
    <row r="18" ht="15.75" spans="1:7">
      <c r="A18" s="13">
        <v>16</v>
      </c>
      <c r="B18" s="42" t="s">
        <v>23</v>
      </c>
      <c r="C18" s="43">
        <v>6</v>
      </c>
      <c r="D18" s="43">
        <v>6</v>
      </c>
      <c r="E18" s="43">
        <v>1</v>
      </c>
      <c r="F18" s="44">
        <f t="shared" si="0"/>
        <v>100</v>
      </c>
      <c r="G18" s="45">
        <f t="shared" si="1"/>
        <v>5</v>
      </c>
    </row>
    <row r="19" ht="15.75" spans="1:7">
      <c r="A19" s="13">
        <v>17</v>
      </c>
      <c r="B19" s="42" t="s">
        <v>29</v>
      </c>
      <c r="C19" s="43">
        <v>1</v>
      </c>
      <c r="D19" s="43">
        <v>1</v>
      </c>
      <c r="E19" s="43">
        <v>0</v>
      </c>
      <c r="F19" s="44">
        <f t="shared" si="0"/>
        <v>100</v>
      </c>
      <c r="G19" s="45">
        <f t="shared" si="1"/>
        <v>5</v>
      </c>
    </row>
    <row r="20" ht="15.75" spans="1:7">
      <c r="A20" s="13">
        <v>18</v>
      </c>
      <c r="B20" s="42" t="s">
        <v>34</v>
      </c>
      <c r="C20" s="43">
        <v>3</v>
      </c>
      <c r="D20" s="43">
        <v>3</v>
      </c>
      <c r="E20" s="43">
        <v>0</v>
      </c>
      <c r="F20" s="44">
        <f t="shared" si="0"/>
        <v>100</v>
      </c>
      <c r="G20" s="45">
        <f t="shared" si="1"/>
        <v>5</v>
      </c>
    </row>
    <row r="21" ht="15.75" spans="1:7">
      <c r="A21" s="13">
        <v>19</v>
      </c>
      <c r="B21" s="42" t="s">
        <v>33</v>
      </c>
      <c r="C21" s="43">
        <v>3</v>
      </c>
      <c r="D21" s="43">
        <v>3</v>
      </c>
      <c r="E21" s="43">
        <v>0</v>
      </c>
      <c r="F21" s="44">
        <f t="shared" si="0"/>
        <v>100</v>
      </c>
      <c r="G21" s="45">
        <f t="shared" si="1"/>
        <v>5</v>
      </c>
    </row>
    <row r="22" ht="15.75" spans="1:7">
      <c r="A22" s="13">
        <v>20</v>
      </c>
      <c r="B22" s="42" t="s">
        <v>24</v>
      </c>
      <c r="C22" s="43">
        <v>4</v>
      </c>
      <c r="D22" s="43">
        <v>4</v>
      </c>
      <c r="E22" s="43">
        <v>0</v>
      </c>
      <c r="F22" s="44">
        <f t="shared" si="0"/>
        <v>100</v>
      </c>
      <c r="G22" s="45">
        <f t="shared" si="1"/>
        <v>5</v>
      </c>
    </row>
    <row r="23" ht="15.75" spans="1:7">
      <c r="A23" s="13">
        <v>21</v>
      </c>
      <c r="B23" s="42" t="s">
        <v>28</v>
      </c>
      <c r="C23" s="43">
        <v>3</v>
      </c>
      <c r="D23" s="43">
        <v>3</v>
      </c>
      <c r="E23" s="43">
        <v>0</v>
      </c>
      <c r="F23" s="44">
        <f t="shared" si="0"/>
        <v>100</v>
      </c>
      <c r="G23" s="45">
        <f t="shared" si="1"/>
        <v>5</v>
      </c>
    </row>
    <row r="24" ht="15.75" spans="1:7">
      <c r="A24" s="13">
        <v>22</v>
      </c>
      <c r="B24" s="46" t="s">
        <v>31</v>
      </c>
      <c r="C24" s="43">
        <v>3</v>
      </c>
      <c r="D24" s="43">
        <v>3</v>
      </c>
      <c r="E24" s="43">
        <v>0</v>
      </c>
      <c r="F24" s="44">
        <f t="shared" si="0"/>
        <v>100</v>
      </c>
      <c r="G24" s="45">
        <f t="shared" si="1"/>
        <v>5</v>
      </c>
    </row>
    <row r="25" ht="15.75" spans="1:7">
      <c r="A25" s="13">
        <v>23</v>
      </c>
      <c r="B25" s="46" t="s">
        <v>22</v>
      </c>
      <c r="C25" s="43">
        <v>3</v>
      </c>
      <c r="D25" s="43">
        <v>3</v>
      </c>
      <c r="E25" s="43">
        <v>0</v>
      </c>
      <c r="F25" s="44">
        <f t="shared" si="0"/>
        <v>100</v>
      </c>
      <c r="G25" s="45">
        <f t="shared" si="1"/>
        <v>5</v>
      </c>
    </row>
    <row r="26" ht="15.75" spans="1:7">
      <c r="A26" s="13">
        <v>24</v>
      </c>
      <c r="B26" s="46" t="s">
        <v>27</v>
      </c>
      <c r="C26" s="43">
        <v>4</v>
      </c>
      <c r="D26" s="43">
        <v>4</v>
      </c>
      <c r="E26" s="43">
        <v>0</v>
      </c>
      <c r="F26" s="44">
        <f t="shared" si="0"/>
        <v>100</v>
      </c>
      <c r="G26" s="45">
        <f t="shared" si="1"/>
        <v>5</v>
      </c>
    </row>
    <row r="27" ht="15.75" spans="1:7">
      <c r="A27" s="13">
        <v>25</v>
      </c>
      <c r="B27" s="46" t="s">
        <v>25</v>
      </c>
      <c r="C27" s="43">
        <v>3</v>
      </c>
      <c r="D27" s="43">
        <v>3</v>
      </c>
      <c r="E27" s="43">
        <v>0</v>
      </c>
      <c r="F27" s="44">
        <f t="shared" si="0"/>
        <v>100</v>
      </c>
      <c r="G27" s="45">
        <f t="shared" si="1"/>
        <v>5</v>
      </c>
    </row>
    <row r="28" ht="15.75" spans="1:7">
      <c r="A28" s="13">
        <v>26</v>
      </c>
      <c r="B28" s="46" t="s">
        <v>32</v>
      </c>
      <c r="C28" s="43">
        <v>3</v>
      </c>
      <c r="D28" s="43">
        <v>3</v>
      </c>
      <c r="E28" s="43">
        <v>0</v>
      </c>
      <c r="F28" s="44">
        <f t="shared" si="0"/>
        <v>100</v>
      </c>
      <c r="G28" s="45">
        <f t="shared" si="1"/>
        <v>5</v>
      </c>
    </row>
    <row r="29" ht="15.75" spans="1:7">
      <c r="A29" s="13">
        <v>27</v>
      </c>
      <c r="B29" s="46" t="s">
        <v>30</v>
      </c>
      <c r="C29" s="43">
        <v>3</v>
      </c>
      <c r="D29" s="43">
        <v>3</v>
      </c>
      <c r="E29" s="43">
        <v>0</v>
      </c>
      <c r="F29" s="44">
        <f t="shared" si="0"/>
        <v>100</v>
      </c>
      <c r="G29" s="45">
        <f t="shared" si="1"/>
        <v>5</v>
      </c>
    </row>
    <row r="30" ht="15.75" spans="1:7">
      <c r="A30" s="13">
        <v>28</v>
      </c>
      <c r="B30" s="46" t="s">
        <v>26</v>
      </c>
      <c r="C30" s="43">
        <v>4</v>
      </c>
      <c r="D30" s="43">
        <v>4</v>
      </c>
      <c r="E30" s="43">
        <v>0</v>
      </c>
      <c r="F30" s="44">
        <f t="shared" si="0"/>
        <v>100</v>
      </c>
      <c r="G30" s="45">
        <f t="shared" si="1"/>
        <v>5</v>
      </c>
    </row>
    <row r="31" s="2" customFormat="1" ht="15.75" spans="1:7">
      <c r="A31" s="19" t="s">
        <v>126</v>
      </c>
      <c r="B31" s="35" t="s">
        <v>35</v>
      </c>
      <c r="C31" s="36">
        <f>SUM(C3:C30)</f>
        <v>98</v>
      </c>
      <c r="D31" s="36">
        <f>SUM(D3:D30)</f>
        <v>97</v>
      </c>
      <c r="E31" s="36">
        <f>SUM(E3:E30)</f>
        <v>2</v>
      </c>
      <c r="F31" s="44">
        <f t="shared" si="0"/>
        <v>98.9795918367347</v>
      </c>
      <c r="G31" s="45">
        <f t="shared" si="1"/>
        <v>4.94897959183674</v>
      </c>
    </row>
  </sheetData>
  <mergeCells count="1">
    <mergeCell ref="A1:G1"/>
  </mergeCells>
  <pageMargins left="0.75" right="0.472222222222222" top="1" bottom="1" header="0.5" footer="0.5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I15" sqref="I15"/>
    </sheetView>
  </sheetViews>
  <sheetFormatPr defaultColWidth="9.14285714285714" defaultRowHeight="15" outlineLevelCol="7"/>
  <cols>
    <col min="1" max="1" width="8" customWidth="1"/>
    <col min="2" max="2" width="25.5714285714286" customWidth="1"/>
    <col min="3" max="3" width="7" customWidth="1"/>
    <col min="4" max="4" width="11.5714285714286" customWidth="1"/>
    <col min="5" max="5" width="9.42857142857143" customWidth="1"/>
    <col min="6" max="6" width="16" style="25" customWidth="1"/>
    <col min="7" max="7" width="10.4285714285714" customWidth="1"/>
    <col min="8" max="8" width="8.42857142857143" customWidth="1"/>
  </cols>
  <sheetData>
    <row r="1" ht="35" customHeight="1" spans="1:8">
      <c r="A1" s="26" t="s">
        <v>144</v>
      </c>
      <c r="B1" s="26"/>
      <c r="C1" s="26"/>
      <c r="D1" s="26"/>
      <c r="E1" s="26"/>
      <c r="F1" s="26"/>
      <c r="G1" s="26"/>
      <c r="H1" s="26"/>
    </row>
    <row r="2" ht="68" customHeight="1" spans="1:8">
      <c r="A2" s="27" t="s">
        <v>1</v>
      </c>
      <c r="B2" s="28" t="s">
        <v>110</v>
      </c>
      <c r="C2" s="29" t="s">
        <v>145</v>
      </c>
      <c r="D2" s="29" t="s">
        <v>146</v>
      </c>
      <c r="E2" s="29" t="s">
        <v>147</v>
      </c>
      <c r="F2" s="29" t="s">
        <v>148</v>
      </c>
      <c r="G2" s="30" t="s">
        <v>5</v>
      </c>
      <c r="H2" s="30" t="s">
        <v>6</v>
      </c>
    </row>
    <row r="3" ht="15.75" spans="1:8">
      <c r="A3" s="13">
        <v>1</v>
      </c>
      <c r="B3" s="31" t="s">
        <v>29</v>
      </c>
      <c r="C3" s="32">
        <v>0</v>
      </c>
      <c r="D3" s="32">
        <v>0</v>
      </c>
      <c r="E3" s="32">
        <v>0</v>
      </c>
      <c r="F3" s="33">
        <v>0</v>
      </c>
      <c r="G3" s="34">
        <f>IFERROR((MAX($F$3:$F$30)-F3)*100/(MAX($F$3:$F$30)-MIN($F$3:$F$30)),0)</f>
        <v>100</v>
      </c>
      <c r="H3" s="34">
        <f>G3*0.05</f>
        <v>5</v>
      </c>
    </row>
    <row r="4" ht="15.75" spans="1:8">
      <c r="A4" s="13">
        <v>2</v>
      </c>
      <c r="B4" s="31" t="s">
        <v>14</v>
      </c>
      <c r="C4" s="32">
        <v>0</v>
      </c>
      <c r="D4" s="32">
        <v>0</v>
      </c>
      <c r="E4" s="32">
        <v>0</v>
      </c>
      <c r="F4" s="33">
        <v>0</v>
      </c>
      <c r="G4" s="34">
        <f t="shared" ref="G4:G31" si="0">IFERROR((MAX($F$3:$F$30)-F4)*100/(MAX($F$3:$F$30)-MIN($F$3:$F$30)),0)</f>
        <v>100</v>
      </c>
      <c r="H4" s="34">
        <f t="shared" ref="H4:H31" si="1">G4*0.05</f>
        <v>5</v>
      </c>
    </row>
    <row r="5" ht="15.75" spans="1:8">
      <c r="A5" s="13">
        <v>3</v>
      </c>
      <c r="B5" s="31" t="s">
        <v>9</v>
      </c>
      <c r="C5" s="32">
        <v>0</v>
      </c>
      <c r="D5" s="32">
        <v>0</v>
      </c>
      <c r="E5" s="32">
        <v>0</v>
      </c>
      <c r="F5" s="33">
        <v>0</v>
      </c>
      <c r="G5" s="34">
        <f t="shared" si="0"/>
        <v>100</v>
      </c>
      <c r="H5" s="34">
        <f t="shared" si="1"/>
        <v>5</v>
      </c>
    </row>
    <row r="6" ht="15.75" spans="1:8">
      <c r="A6" s="13">
        <v>4</v>
      </c>
      <c r="B6" s="31" t="s">
        <v>16</v>
      </c>
      <c r="C6" s="32">
        <v>9</v>
      </c>
      <c r="D6" s="32">
        <v>9</v>
      </c>
      <c r="E6" s="32">
        <v>9</v>
      </c>
      <c r="F6" s="33">
        <v>0.00141203703703704</v>
      </c>
      <c r="G6" s="34">
        <f t="shared" si="0"/>
        <v>80.1626016260163</v>
      </c>
      <c r="H6" s="34">
        <f t="shared" si="1"/>
        <v>4.00813008130081</v>
      </c>
    </row>
    <row r="7" ht="15.75" spans="1:8">
      <c r="A7" s="13">
        <v>5</v>
      </c>
      <c r="B7" s="31" t="s">
        <v>33</v>
      </c>
      <c r="C7" s="32">
        <v>5</v>
      </c>
      <c r="D7" s="32">
        <v>5</v>
      </c>
      <c r="E7" s="32">
        <v>5</v>
      </c>
      <c r="F7" s="33">
        <v>0.00153935185185185</v>
      </c>
      <c r="G7" s="34">
        <f t="shared" si="0"/>
        <v>78.3739837398374</v>
      </c>
      <c r="H7" s="34">
        <f t="shared" si="1"/>
        <v>3.91869918699187</v>
      </c>
    </row>
    <row r="8" ht="15.75" spans="1:8">
      <c r="A8" s="13">
        <v>6</v>
      </c>
      <c r="B8" s="31" t="s">
        <v>119</v>
      </c>
      <c r="C8" s="32">
        <v>42</v>
      </c>
      <c r="D8" s="32">
        <v>42</v>
      </c>
      <c r="E8" s="32">
        <v>42</v>
      </c>
      <c r="F8" s="33">
        <v>0.00208333333333333</v>
      </c>
      <c r="G8" s="34">
        <f t="shared" si="0"/>
        <v>70.7317073170732</v>
      </c>
      <c r="H8" s="34">
        <f t="shared" si="1"/>
        <v>3.53658536585366</v>
      </c>
    </row>
    <row r="9" ht="15.75" spans="1:8">
      <c r="A9" s="13">
        <v>7</v>
      </c>
      <c r="B9" s="31" t="s">
        <v>122</v>
      </c>
      <c r="C9" s="32">
        <v>11</v>
      </c>
      <c r="D9" s="32">
        <v>11</v>
      </c>
      <c r="E9" s="32">
        <v>11</v>
      </c>
      <c r="F9" s="33">
        <v>0.00210648148148148</v>
      </c>
      <c r="G9" s="34">
        <f t="shared" si="0"/>
        <v>70.4065040650407</v>
      </c>
      <c r="H9" s="34">
        <f t="shared" si="1"/>
        <v>3.52032520325203</v>
      </c>
    </row>
    <row r="10" ht="15.75" spans="1:8">
      <c r="A10" s="13">
        <v>8</v>
      </c>
      <c r="B10" s="31" t="s">
        <v>32</v>
      </c>
      <c r="C10" s="32">
        <v>2</v>
      </c>
      <c r="D10" s="32">
        <v>2</v>
      </c>
      <c r="E10" s="32">
        <v>2</v>
      </c>
      <c r="F10" s="33">
        <v>0.00229166666666667</v>
      </c>
      <c r="G10" s="34">
        <f t="shared" si="0"/>
        <v>67.8048780487805</v>
      </c>
      <c r="H10" s="34">
        <f t="shared" si="1"/>
        <v>3.39024390243902</v>
      </c>
    </row>
    <row r="11" ht="15.75" spans="1:8">
      <c r="A11" s="13">
        <v>9</v>
      </c>
      <c r="B11" s="31" t="s">
        <v>123</v>
      </c>
      <c r="C11" s="32">
        <v>10</v>
      </c>
      <c r="D11" s="32">
        <v>10</v>
      </c>
      <c r="E11" s="32">
        <v>10</v>
      </c>
      <c r="F11" s="33">
        <v>0.00251157407407407</v>
      </c>
      <c r="G11" s="34">
        <f t="shared" si="0"/>
        <v>64.7154471544715</v>
      </c>
      <c r="H11" s="34">
        <f t="shared" si="1"/>
        <v>3.23577235772358</v>
      </c>
    </row>
    <row r="12" ht="15.75" spans="1:8">
      <c r="A12" s="13">
        <v>10</v>
      </c>
      <c r="B12" s="31" t="s">
        <v>24</v>
      </c>
      <c r="C12" s="32">
        <v>4</v>
      </c>
      <c r="D12" s="32">
        <v>4</v>
      </c>
      <c r="E12" s="32">
        <v>4</v>
      </c>
      <c r="F12" s="33">
        <v>0.00269675925925926</v>
      </c>
      <c r="G12" s="34">
        <f t="shared" si="0"/>
        <v>62.1138211382114</v>
      </c>
      <c r="H12" s="34">
        <f t="shared" si="1"/>
        <v>3.10569105691057</v>
      </c>
    </row>
    <row r="13" ht="15.75" spans="1:8">
      <c r="A13" s="13">
        <v>11</v>
      </c>
      <c r="B13" s="31" t="s">
        <v>120</v>
      </c>
      <c r="C13" s="32">
        <v>36</v>
      </c>
      <c r="D13" s="32">
        <v>36</v>
      </c>
      <c r="E13" s="32">
        <v>36</v>
      </c>
      <c r="F13" s="33">
        <v>0.00273148148148148</v>
      </c>
      <c r="G13" s="34">
        <f t="shared" si="0"/>
        <v>61.6260162601626</v>
      </c>
      <c r="H13" s="34">
        <f t="shared" si="1"/>
        <v>3.08130081300813</v>
      </c>
    </row>
    <row r="14" ht="15.75" spans="1:8">
      <c r="A14" s="13">
        <v>12</v>
      </c>
      <c r="B14" s="31" t="s">
        <v>13</v>
      </c>
      <c r="C14" s="32">
        <v>6</v>
      </c>
      <c r="D14" s="32">
        <v>6</v>
      </c>
      <c r="E14" s="32">
        <v>6</v>
      </c>
      <c r="F14" s="33">
        <v>0.00273148148148148</v>
      </c>
      <c r="G14" s="34">
        <f t="shared" si="0"/>
        <v>61.6260162601626</v>
      </c>
      <c r="H14" s="34">
        <f t="shared" si="1"/>
        <v>3.08130081300813</v>
      </c>
    </row>
    <row r="15" ht="15.75" spans="1:8">
      <c r="A15" s="13">
        <v>13</v>
      </c>
      <c r="B15" s="31" t="s">
        <v>7</v>
      </c>
      <c r="C15" s="32">
        <v>4</v>
      </c>
      <c r="D15" s="32">
        <v>4</v>
      </c>
      <c r="E15" s="32">
        <v>4</v>
      </c>
      <c r="F15" s="33">
        <v>0.0028125</v>
      </c>
      <c r="G15" s="34">
        <f t="shared" si="0"/>
        <v>60.4878048780488</v>
      </c>
      <c r="H15" s="34">
        <f t="shared" si="1"/>
        <v>3.02439024390244</v>
      </c>
    </row>
    <row r="16" ht="15.75" spans="1:8">
      <c r="A16" s="13">
        <v>14</v>
      </c>
      <c r="B16" s="31" t="s">
        <v>125</v>
      </c>
      <c r="C16" s="32">
        <v>22</v>
      </c>
      <c r="D16" s="32">
        <v>22</v>
      </c>
      <c r="E16" s="32">
        <v>22</v>
      </c>
      <c r="F16" s="33">
        <v>0.00300925925925926</v>
      </c>
      <c r="G16" s="34">
        <f t="shared" si="0"/>
        <v>57.7235772357724</v>
      </c>
      <c r="H16" s="34">
        <f t="shared" si="1"/>
        <v>2.88617886178862</v>
      </c>
    </row>
    <row r="17" ht="15.75" spans="1:8">
      <c r="A17" s="13">
        <v>15</v>
      </c>
      <c r="B17" s="31" t="s">
        <v>34</v>
      </c>
      <c r="C17" s="32">
        <v>5</v>
      </c>
      <c r="D17" s="32">
        <v>5</v>
      </c>
      <c r="E17" s="32">
        <v>5</v>
      </c>
      <c r="F17" s="33">
        <v>0.00328703703703704</v>
      </c>
      <c r="G17" s="34">
        <f t="shared" si="0"/>
        <v>53.8211382113821</v>
      </c>
      <c r="H17" s="34">
        <f t="shared" si="1"/>
        <v>2.69105691056911</v>
      </c>
    </row>
    <row r="18" ht="15.75" spans="1:8">
      <c r="A18" s="13">
        <v>16</v>
      </c>
      <c r="B18" s="31" t="s">
        <v>15</v>
      </c>
      <c r="C18" s="32">
        <v>6</v>
      </c>
      <c r="D18" s="32">
        <v>6</v>
      </c>
      <c r="E18" s="32">
        <v>6</v>
      </c>
      <c r="F18" s="33">
        <v>0.00350694444444444</v>
      </c>
      <c r="G18" s="34">
        <f t="shared" si="0"/>
        <v>50.7317073170732</v>
      </c>
      <c r="H18" s="34">
        <f t="shared" si="1"/>
        <v>2.53658536585366</v>
      </c>
    </row>
    <row r="19" ht="15.75" spans="1:8">
      <c r="A19" s="13">
        <v>17</v>
      </c>
      <c r="B19" s="31" t="s">
        <v>21</v>
      </c>
      <c r="C19" s="32">
        <v>2</v>
      </c>
      <c r="D19" s="32">
        <v>2</v>
      </c>
      <c r="E19" s="32">
        <v>2</v>
      </c>
      <c r="F19" s="33">
        <v>0.00356481481481481</v>
      </c>
      <c r="G19" s="34">
        <f t="shared" si="0"/>
        <v>49.9186991869919</v>
      </c>
      <c r="H19" s="34">
        <f t="shared" si="1"/>
        <v>2.49593495934959</v>
      </c>
    </row>
    <row r="20" ht="15.75" spans="1:8">
      <c r="A20" s="13">
        <v>18</v>
      </c>
      <c r="B20" s="31" t="s">
        <v>17</v>
      </c>
      <c r="C20" s="32">
        <v>1</v>
      </c>
      <c r="D20" s="32">
        <v>1</v>
      </c>
      <c r="E20" s="32">
        <v>1</v>
      </c>
      <c r="F20" s="33">
        <v>0.00365740740740741</v>
      </c>
      <c r="G20" s="34">
        <f t="shared" si="0"/>
        <v>48.6178861788618</v>
      </c>
      <c r="H20" s="34">
        <f t="shared" si="1"/>
        <v>2.43089430894309</v>
      </c>
    </row>
    <row r="21" ht="15.75" spans="1:8">
      <c r="A21" s="13">
        <v>19</v>
      </c>
      <c r="B21" s="31" t="s">
        <v>25</v>
      </c>
      <c r="C21" s="32">
        <v>2</v>
      </c>
      <c r="D21" s="32">
        <v>2</v>
      </c>
      <c r="E21" s="32">
        <v>2</v>
      </c>
      <c r="F21" s="33">
        <v>0.00378472222222222</v>
      </c>
      <c r="G21" s="34">
        <f t="shared" si="0"/>
        <v>46.8292682926829</v>
      </c>
      <c r="H21" s="34">
        <f t="shared" si="1"/>
        <v>2.34146341463415</v>
      </c>
    </row>
    <row r="22" ht="15.75" spans="1:8">
      <c r="A22" s="13">
        <v>20</v>
      </c>
      <c r="B22" s="31" t="s">
        <v>124</v>
      </c>
      <c r="C22" s="32">
        <v>7</v>
      </c>
      <c r="D22" s="32">
        <v>7</v>
      </c>
      <c r="E22" s="32">
        <v>7</v>
      </c>
      <c r="F22" s="33">
        <v>0.00384259259259259</v>
      </c>
      <c r="G22" s="34">
        <f t="shared" si="0"/>
        <v>46.0162601626016</v>
      </c>
      <c r="H22" s="34">
        <f t="shared" si="1"/>
        <v>2.30081300813008</v>
      </c>
    </row>
    <row r="23" ht="15.75" spans="1:8">
      <c r="A23" s="13">
        <v>21</v>
      </c>
      <c r="B23" s="31" t="s">
        <v>30</v>
      </c>
      <c r="C23" s="32">
        <v>5</v>
      </c>
      <c r="D23" s="32">
        <v>5</v>
      </c>
      <c r="E23" s="32">
        <v>5</v>
      </c>
      <c r="F23" s="33">
        <v>0.00414351851851852</v>
      </c>
      <c r="G23" s="34">
        <f t="shared" si="0"/>
        <v>41.7886178861789</v>
      </c>
      <c r="H23" s="34">
        <f t="shared" si="1"/>
        <v>2.08943089430894</v>
      </c>
    </row>
    <row r="24" ht="15.75" spans="1:8">
      <c r="A24" s="13">
        <v>22</v>
      </c>
      <c r="B24" s="31" t="s">
        <v>18</v>
      </c>
      <c r="C24" s="32">
        <v>4</v>
      </c>
      <c r="D24" s="32">
        <v>4</v>
      </c>
      <c r="E24" s="32">
        <v>4</v>
      </c>
      <c r="F24" s="33">
        <v>0.00425925925925926</v>
      </c>
      <c r="G24" s="34">
        <f t="shared" si="0"/>
        <v>40.1626016260163</v>
      </c>
      <c r="H24" s="34">
        <f t="shared" si="1"/>
        <v>2.00813008130081</v>
      </c>
    </row>
    <row r="25" ht="15.75" spans="1:8">
      <c r="A25" s="13">
        <v>23</v>
      </c>
      <c r="B25" s="31" t="s">
        <v>28</v>
      </c>
      <c r="C25" s="32">
        <v>7</v>
      </c>
      <c r="D25" s="32">
        <v>7</v>
      </c>
      <c r="E25" s="32">
        <v>7</v>
      </c>
      <c r="F25" s="33">
        <v>0.00438657407407407</v>
      </c>
      <c r="G25" s="34">
        <f t="shared" si="0"/>
        <v>38.3739837398374</v>
      </c>
      <c r="H25" s="34">
        <f t="shared" si="1"/>
        <v>1.91869918699187</v>
      </c>
    </row>
    <row r="26" ht="15.75" spans="1:8">
      <c r="A26" s="13">
        <v>24</v>
      </c>
      <c r="B26" s="31" t="s">
        <v>121</v>
      </c>
      <c r="C26" s="32">
        <v>23</v>
      </c>
      <c r="D26" s="32">
        <v>23</v>
      </c>
      <c r="E26" s="32">
        <v>23</v>
      </c>
      <c r="F26" s="33">
        <v>0.00447916666666667</v>
      </c>
      <c r="G26" s="34">
        <f t="shared" si="0"/>
        <v>37.0731707317073</v>
      </c>
      <c r="H26" s="34">
        <f t="shared" si="1"/>
        <v>1.85365853658537</v>
      </c>
    </row>
    <row r="27" ht="15.75" spans="1:8">
      <c r="A27" s="13">
        <v>25</v>
      </c>
      <c r="B27" s="31" t="s">
        <v>27</v>
      </c>
      <c r="C27" s="32">
        <v>7</v>
      </c>
      <c r="D27" s="32">
        <v>7</v>
      </c>
      <c r="E27" s="32">
        <v>7</v>
      </c>
      <c r="F27" s="33">
        <v>0.00453703703703704</v>
      </c>
      <c r="G27" s="34">
        <f t="shared" si="0"/>
        <v>36.260162601626</v>
      </c>
      <c r="H27" s="34">
        <f t="shared" si="1"/>
        <v>1.8130081300813</v>
      </c>
    </row>
    <row r="28" ht="15.75" spans="1:8">
      <c r="A28" s="13">
        <v>26</v>
      </c>
      <c r="B28" s="31" t="s">
        <v>12</v>
      </c>
      <c r="C28" s="32">
        <v>3</v>
      </c>
      <c r="D28" s="32">
        <v>3</v>
      </c>
      <c r="E28" s="32">
        <v>3</v>
      </c>
      <c r="F28" s="33">
        <v>0.00530092592592593</v>
      </c>
      <c r="G28" s="34">
        <f t="shared" si="0"/>
        <v>25.5284552845528</v>
      </c>
      <c r="H28" s="34">
        <f t="shared" si="1"/>
        <v>1.27642276422764</v>
      </c>
    </row>
    <row r="29" ht="15.75" spans="1:8">
      <c r="A29" s="13">
        <v>27</v>
      </c>
      <c r="B29" s="31" t="s">
        <v>19</v>
      </c>
      <c r="C29" s="32">
        <v>1</v>
      </c>
      <c r="D29" s="32">
        <v>1</v>
      </c>
      <c r="E29" s="32">
        <v>1</v>
      </c>
      <c r="F29" s="33">
        <v>0.00684027777777778</v>
      </c>
      <c r="G29" s="34">
        <f t="shared" si="0"/>
        <v>3.90243902439024</v>
      </c>
      <c r="H29" s="34">
        <f t="shared" si="1"/>
        <v>0.195121951219512</v>
      </c>
    </row>
    <row r="30" ht="15.75" spans="1:8">
      <c r="A30" s="13">
        <v>28</v>
      </c>
      <c r="B30" s="31" t="s">
        <v>31</v>
      </c>
      <c r="C30" s="32">
        <v>3</v>
      </c>
      <c r="D30" s="32">
        <v>3</v>
      </c>
      <c r="E30" s="32">
        <v>3</v>
      </c>
      <c r="F30" s="33">
        <v>0.00711805555555556</v>
      </c>
      <c r="G30" s="34">
        <f t="shared" si="0"/>
        <v>0</v>
      </c>
      <c r="H30" s="34">
        <f t="shared" si="1"/>
        <v>0</v>
      </c>
    </row>
    <row r="31" s="2" customFormat="1" ht="15.75" spans="1:8">
      <c r="A31" s="19" t="s">
        <v>126</v>
      </c>
      <c r="B31" s="35" t="s">
        <v>35</v>
      </c>
      <c r="C31" s="36">
        <f>SUM(C3:C30)</f>
        <v>227</v>
      </c>
      <c r="D31" s="36">
        <f>SUM(D3:D30)</f>
        <v>227</v>
      </c>
      <c r="E31" s="36">
        <f>SUM(E3:E30)</f>
        <v>227</v>
      </c>
      <c r="F31" s="37">
        <f>AVERAGE(F3:F30)</f>
        <v>0.00316550925925926</v>
      </c>
      <c r="G31" s="38">
        <f t="shared" si="0"/>
        <v>55.5284552845528</v>
      </c>
      <c r="H31" s="38">
        <f t="shared" si="1"/>
        <v>2.77642276422764</v>
      </c>
    </row>
  </sheetData>
  <mergeCells count="1">
    <mergeCell ref="A1:H1"/>
  </mergeCells>
  <pageMargins left="0.590277777777778" right="0.275" top="1" bottom="1" header="0.5" footer="0.5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1"/>
  <sheetViews>
    <sheetView topLeftCell="E1" workbookViewId="0">
      <selection activeCell="H10" sqref="H10"/>
    </sheetView>
  </sheetViews>
  <sheetFormatPr defaultColWidth="9.14285714285714" defaultRowHeight="15"/>
  <cols>
    <col min="1" max="1" width="8" customWidth="1"/>
    <col min="2" max="2" width="25.6857142857143" customWidth="1"/>
    <col min="3" max="3" width="11.1428571428571" customWidth="1"/>
    <col min="4" max="4" width="9.71428571428571" customWidth="1"/>
    <col min="5" max="5" width="6.14285714285714" customWidth="1"/>
    <col min="6" max="6" width="7.57142857142857" customWidth="1"/>
    <col min="7" max="7" width="12" customWidth="1"/>
    <col min="8" max="8" width="9.71428571428571" customWidth="1"/>
    <col min="9" max="9" width="6" customWidth="1"/>
    <col min="10" max="10" width="7" customWidth="1"/>
    <col min="11" max="11" width="9.57142857142857" customWidth="1"/>
    <col min="12" max="12" width="8.04761904761905" customWidth="1"/>
    <col min="13" max="13" width="6.14285714285714" customWidth="1"/>
    <col min="14" max="14" width="7" customWidth="1"/>
    <col min="15" max="15" width="9.71428571428571" customWidth="1"/>
    <col min="16" max="16" width="8.14285714285714" customWidth="1"/>
    <col min="17" max="17" width="6" customWidth="1"/>
    <col min="18" max="18" width="7" customWidth="1"/>
    <col min="19" max="19" width="7.57142857142857" customWidth="1"/>
    <col min="20" max="20" width="7" customWidth="1"/>
  </cols>
  <sheetData>
    <row r="1" ht="35" customHeight="1" spans="1:20">
      <c r="A1" s="3" t="s">
        <v>149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</row>
    <row r="2" s="1" customFormat="1" ht="71.25" spans="1:20">
      <c r="A2" s="6" t="s">
        <v>1</v>
      </c>
      <c r="B2" s="7" t="s">
        <v>110</v>
      </c>
      <c r="C2" s="8" t="s">
        <v>150</v>
      </c>
      <c r="D2" s="9" t="s">
        <v>151</v>
      </c>
      <c r="E2" s="9" t="s">
        <v>152</v>
      </c>
      <c r="F2" s="10" t="s">
        <v>153</v>
      </c>
      <c r="G2" s="8" t="s">
        <v>154</v>
      </c>
      <c r="H2" s="9" t="s">
        <v>155</v>
      </c>
      <c r="I2" s="9" t="s">
        <v>156</v>
      </c>
      <c r="J2" s="10" t="s">
        <v>157</v>
      </c>
      <c r="K2" s="8" t="s">
        <v>158</v>
      </c>
      <c r="L2" s="9" t="s">
        <v>159</v>
      </c>
      <c r="M2" s="9" t="s">
        <v>160</v>
      </c>
      <c r="N2" s="10" t="s">
        <v>161</v>
      </c>
      <c r="O2" s="8" t="s">
        <v>162</v>
      </c>
      <c r="P2" s="9" t="s">
        <v>159</v>
      </c>
      <c r="Q2" s="9" t="s">
        <v>163</v>
      </c>
      <c r="R2" s="10" t="s">
        <v>164</v>
      </c>
      <c r="S2" s="11" t="s">
        <v>5</v>
      </c>
      <c r="T2" s="12" t="s">
        <v>165</v>
      </c>
    </row>
    <row r="3" ht="15.75" spans="1:20">
      <c r="A3" s="13">
        <v>1</v>
      </c>
      <c r="B3" s="14" t="s">
        <v>119</v>
      </c>
      <c r="C3" s="15">
        <v>0</v>
      </c>
      <c r="D3" s="16">
        <v>0</v>
      </c>
      <c r="E3" s="16">
        <f>IF(C3=0,100,D3/C3*100)</f>
        <v>100</v>
      </c>
      <c r="F3" s="17">
        <f>E3*1.25/100</f>
        <v>1.25</v>
      </c>
      <c r="G3" s="15">
        <v>0</v>
      </c>
      <c r="H3" s="16">
        <v>0</v>
      </c>
      <c r="I3" s="16">
        <f>IF(G3=0,100,H3/G3*100)</f>
        <v>100</v>
      </c>
      <c r="J3" s="17">
        <f>I3*1.25/100</f>
        <v>1.25</v>
      </c>
      <c r="K3" s="15">
        <v>0</v>
      </c>
      <c r="L3" s="16">
        <v>0</v>
      </c>
      <c r="M3" s="16">
        <f>IF(K3=0,100,L3/K3*100)</f>
        <v>100</v>
      </c>
      <c r="N3" s="17">
        <f>M3*1.25/100</f>
        <v>1.25</v>
      </c>
      <c r="O3" s="15">
        <v>0</v>
      </c>
      <c r="P3" s="16">
        <v>0</v>
      </c>
      <c r="Q3" s="16">
        <f>IF(O3=0,100,P3/O3*100)</f>
        <v>100</v>
      </c>
      <c r="R3" s="17">
        <f>Q3*1.25/100</f>
        <v>1.25</v>
      </c>
      <c r="S3" s="18">
        <f>(E3+I3+M3+Q3)/400*100</f>
        <v>100</v>
      </c>
      <c r="T3" s="16">
        <f>S3*0.05</f>
        <v>5</v>
      </c>
    </row>
    <row r="4" ht="15.75" spans="1:20">
      <c r="A4" s="13">
        <v>2</v>
      </c>
      <c r="B4" s="14" t="s">
        <v>31</v>
      </c>
      <c r="C4" s="15">
        <v>0</v>
      </c>
      <c r="D4" s="16">
        <v>0</v>
      </c>
      <c r="E4" s="16">
        <f t="shared" ref="E4:E31" si="0">IF(C4=0,100,D4/C4*100)</f>
        <v>100</v>
      </c>
      <c r="F4" s="17">
        <f t="shared" ref="F4:F31" si="1">E4*1.25/100</f>
        <v>1.25</v>
      </c>
      <c r="G4" s="15">
        <v>0</v>
      </c>
      <c r="H4" s="16">
        <v>0</v>
      </c>
      <c r="I4" s="16">
        <f t="shared" ref="I4:I31" si="2">IF(G4=0,100,H4/G4*100)</f>
        <v>100</v>
      </c>
      <c r="J4" s="17">
        <f t="shared" ref="J4:J31" si="3">I4*1.25/100</f>
        <v>1.25</v>
      </c>
      <c r="K4" s="15">
        <v>0</v>
      </c>
      <c r="L4" s="16">
        <v>0</v>
      </c>
      <c r="M4" s="16">
        <f t="shared" ref="M4:M31" si="4">IF(K4=0,100,L4/K4*100)</f>
        <v>100</v>
      </c>
      <c r="N4" s="17">
        <f t="shared" ref="N4:N31" si="5">M4*1.25/100</f>
        <v>1.25</v>
      </c>
      <c r="O4" s="15">
        <v>0</v>
      </c>
      <c r="P4" s="16">
        <v>0</v>
      </c>
      <c r="Q4" s="16">
        <f t="shared" ref="Q4:Q30" si="6">IF(O4=0,100,P4/O4*100)</f>
        <v>100</v>
      </c>
      <c r="R4" s="17">
        <f t="shared" ref="R4:R31" si="7">Q4*1.25/100</f>
        <v>1.25</v>
      </c>
      <c r="S4" s="18">
        <f t="shared" ref="S4:S31" si="8">(E4+I4+M4+Q4)/400*100</f>
        <v>100</v>
      </c>
      <c r="T4" s="16">
        <f t="shared" ref="T4:T31" si="9">S4*0.05</f>
        <v>5</v>
      </c>
    </row>
    <row r="5" ht="15.75" spans="1:20">
      <c r="A5" s="13">
        <v>3</v>
      </c>
      <c r="B5" s="14" t="s">
        <v>28</v>
      </c>
      <c r="C5" s="15">
        <v>0</v>
      </c>
      <c r="D5" s="16">
        <v>0</v>
      </c>
      <c r="E5" s="16">
        <f t="shared" si="0"/>
        <v>100</v>
      </c>
      <c r="F5" s="17">
        <f t="shared" si="1"/>
        <v>1.25</v>
      </c>
      <c r="G5" s="15">
        <v>0</v>
      </c>
      <c r="H5" s="16">
        <v>0</v>
      </c>
      <c r="I5" s="16">
        <f t="shared" si="2"/>
        <v>100</v>
      </c>
      <c r="J5" s="17">
        <f t="shared" si="3"/>
        <v>1.25</v>
      </c>
      <c r="K5" s="15">
        <v>0</v>
      </c>
      <c r="L5" s="16">
        <v>0</v>
      </c>
      <c r="M5" s="16">
        <f t="shared" si="4"/>
        <v>100</v>
      </c>
      <c r="N5" s="17">
        <f t="shared" si="5"/>
        <v>1.25</v>
      </c>
      <c r="O5" s="15">
        <v>0</v>
      </c>
      <c r="P5" s="16">
        <v>0</v>
      </c>
      <c r="Q5" s="16">
        <f t="shared" si="6"/>
        <v>100</v>
      </c>
      <c r="R5" s="17">
        <f t="shared" si="7"/>
        <v>1.25</v>
      </c>
      <c r="S5" s="18">
        <f t="shared" si="8"/>
        <v>100</v>
      </c>
      <c r="T5" s="16">
        <f t="shared" si="9"/>
        <v>5</v>
      </c>
    </row>
    <row r="6" ht="15.75" spans="1:20">
      <c r="A6" s="13">
        <v>4</v>
      </c>
      <c r="B6" s="14" t="s">
        <v>33</v>
      </c>
      <c r="C6" s="15">
        <v>0</v>
      </c>
      <c r="D6" s="16">
        <v>0</v>
      </c>
      <c r="E6" s="16">
        <f t="shared" si="0"/>
        <v>100</v>
      </c>
      <c r="F6" s="17">
        <f t="shared" si="1"/>
        <v>1.25</v>
      </c>
      <c r="G6" s="15">
        <v>0</v>
      </c>
      <c r="H6" s="16">
        <v>0</v>
      </c>
      <c r="I6" s="16">
        <f t="shared" si="2"/>
        <v>100</v>
      </c>
      <c r="J6" s="17">
        <f t="shared" si="3"/>
        <v>1.25</v>
      </c>
      <c r="K6" s="15">
        <v>0</v>
      </c>
      <c r="L6" s="16">
        <v>0</v>
      </c>
      <c r="M6" s="16">
        <f t="shared" si="4"/>
        <v>100</v>
      </c>
      <c r="N6" s="17">
        <f t="shared" si="5"/>
        <v>1.25</v>
      </c>
      <c r="O6" s="15">
        <v>0</v>
      </c>
      <c r="P6" s="16">
        <v>0</v>
      </c>
      <c r="Q6" s="16">
        <f t="shared" si="6"/>
        <v>100</v>
      </c>
      <c r="R6" s="17">
        <f t="shared" si="7"/>
        <v>1.25</v>
      </c>
      <c r="S6" s="18">
        <f t="shared" si="8"/>
        <v>100</v>
      </c>
      <c r="T6" s="16">
        <f t="shared" si="9"/>
        <v>5</v>
      </c>
    </row>
    <row r="7" ht="15.75" spans="1:20">
      <c r="A7" s="13">
        <v>5</v>
      </c>
      <c r="B7" s="14" t="s">
        <v>34</v>
      </c>
      <c r="C7" s="15">
        <v>0</v>
      </c>
      <c r="D7" s="16">
        <v>0</v>
      </c>
      <c r="E7" s="16">
        <f t="shared" si="0"/>
        <v>100</v>
      </c>
      <c r="F7" s="17">
        <f t="shared" si="1"/>
        <v>1.25</v>
      </c>
      <c r="G7" s="15">
        <v>0</v>
      </c>
      <c r="H7" s="16">
        <v>0</v>
      </c>
      <c r="I7" s="16">
        <f t="shared" si="2"/>
        <v>100</v>
      </c>
      <c r="J7" s="17">
        <f t="shared" si="3"/>
        <v>1.25</v>
      </c>
      <c r="K7" s="15">
        <v>0</v>
      </c>
      <c r="L7" s="16">
        <v>0</v>
      </c>
      <c r="M7" s="16">
        <f t="shared" si="4"/>
        <v>100</v>
      </c>
      <c r="N7" s="17">
        <f t="shared" si="5"/>
        <v>1.25</v>
      </c>
      <c r="O7" s="15">
        <v>0</v>
      </c>
      <c r="P7" s="16">
        <v>0</v>
      </c>
      <c r="Q7" s="16">
        <f t="shared" si="6"/>
        <v>100</v>
      </c>
      <c r="R7" s="17">
        <f t="shared" si="7"/>
        <v>1.25</v>
      </c>
      <c r="S7" s="18">
        <f t="shared" si="8"/>
        <v>100</v>
      </c>
      <c r="T7" s="16">
        <f t="shared" si="9"/>
        <v>5</v>
      </c>
    </row>
    <row r="8" ht="15.75" spans="1:20">
      <c r="A8" s="13">
        <v>6</v>
      </c>
      <c r="B8" s="14" t="s">
        <v>24</v>
      </c>
      <c r="C8" s="15">
        <v>0</v>
      </c>
      <c r="D8" s="16">
        <v>0</v>
      </c>
      <c r="E8" s="16">
        <f t="shared" si="0"/>
        <v>100</v>
      </c>
      <c r="F8" s="17">
        <f t="shared" si="1"/>
        <v>1.25</v>
      </c>
      <c r="G8" s="15">
        <v>0</v>
      </c>
      <c r="H8" s="16">
        <v>0</v>
      </c>
      <c r="I8" s="16">
        <f t="shared" si="2"/>
        <v>100</v>
      </c>
      <c r="J8" s="17">
        <f t="shared" si="3"/>
        <v>1.25</v>
      </c>
      <c r="K8" s="15">
        <v>0</v>
      </c>
      <c r="L8" s="16">
        <v>0</v>
      </c>
      <c r="M8" s="16">
        <f t="shared" si="4"/>
        <v>100</v>
      </c>
      <c r="N8" s="17">
        <f t="shared" si="5"/>
        <v>1.25</v>
      </c>
      <c r="O8" s="15">
        <v>0</v>
      </c>
      <c r="P8" s="16">
        <v>0</v>
      </c>
      <c r="Q8" s="16">
        <f t="shared" si="6"/>
        <v>100</v>
      </c>
      <c r="R8" s="17">
        <f t="shared" si="7"/>
        <v>1.25</v>
      </c>
      <c r="S8" s="18">
        <f t="shared" si="8"/>
        <v>100</v>
      </c>
      <c r="T8" s="16">
        <f t="shared" si="9"/>
        <v>5</v>
      </c>
    </row>
    <row r="9" ht="15.75" spans="1:20">
      <c r="A9" s="13">
        <v>7</v>
      </c>
      <c r="B9" s="14" t="s">
        <v>120</v>
      </c>
      <c r="C9" s="15">
        <v>0</v>
      </c>
      <c r="D9" s="16">
        <v>0</v>
      </c>
      <c r="E9" s="16">
        <f t="shared" si="0"/>
        <v>100</v>
      </c>
      <c r="F9" s="17">
        <f t="shared" si="1"/>
        <v>1.25</v>
      </c>
      <c r="G9" s="15">
        <v>0</v>
      </c>
      <c r="H9" s="16">
        <v>0</v>
      </c>
      <c r="I9" s="16">
        <f t="shared" si="2"/>
        <v>100</v>
      </c>
      <c r="J9" s="17">
        <f t="shared" si="3"/>
        <v>1.25</v>
      </c>
      <c r="K9" s="15">
        <v>0</v>
      </c>
      <c r="L9" s="16">
        <v>0</v>
      </c>
      <c r="M9" s="16">
        <f t="shared" si="4"/>
        <v>100</v>
      </c>
      <c r="N9" s="17">
        <f t="shared" si="5"/>
        <v>1.25</v>
      </c>
      <c r="O9" s="15">
        <v>0</v>
      </c>
      <c r="P9" s="16">
        <v>0</v>
      </c>
      <c r="Q9" s="16">
        <f t="shared" si="6"/>
        <v>100</v>
      </c>
      <c r="R9" s="17">
        <f t="shared" si="7"/>
        <v>1.25</v>
      </c>
      <c r="S9" s="18">
        <f t="shared" si="8"/>
        <v>100</v>
      </c>
      <c r="T9" s="16">
        <f t="shared" si="9"/>
        <v>5</v>
      </c>
    </row>
    <row r="10" ht="15.75" spans="1:20">
      <c r="A10" s="13">
        <v>8</v>
      </c>
      <c r="B10" s="14" t="s">
        <v>25</v>
      </c>
      <c r="C10" s="15">
        <v>0</v>
      </c>
      <c r="D10" s="16">
        <v>0</v>
      </c>
      <c r="E10" s="16">
        <f t="shared" si="0"/>
        <v>100</v>
      </c>
      <c r="F10" s="17">
        <f t="shared" si="1"/>
        <v>1.25</v>
      </c>
      <c r="G10" s="15">
        <v>0</v>
      </c>
      <c r="H10" s="16">
        <v>0</v>
      </c>
      <c r="I10" s="16">
        <f t="shared" si="2"/>
        <v>100</v>
      </c>
      <c r="J10" s="17">
        <f t="shared" si="3"/>
        <v>1.25</v>
      </c>
      <c r="K10" s="15">
        <v>0</v>
      </c>
      <c r="L10" s="16">
        <v>0</v>
      </c>
      <c r="M10" s="16">
        <f t="shared" si="4"/>
        <v>100</v>
      </c>
      <c r="N10" s="17">
        <f t="shared" si="5"/>
        <v>1.25</v>
      </c>
      <c r="O10" s="15">
        <v>0</v>
      </c>
      <c r="P10" s="16">
        <v>0</v>
      </c>
      <c r="Q10" s="16">
        <f t="shared" si="6"/>
        <v>100</v>
      </c>
      <c r="R10" s="17">
        <f t="shared" si="7"/>
        <v>1.25</v>
      </c>
      <c r="S10" s="18">
        <f t="shared" si="8"/>
        <v>100</v>
      </c>
      <c r="T10" s="16">
        <f t="shared" si="9"/>
        <v>5</v>
      </c>
    </row>
    <row r="11" ht="15.75" spans="1:20">
      <c r="A11" s="13">
        <v>9</v>
      </c>
      <c r="B11" s="14" t="s">
        <v>27</v>
      </c>
      <c r="C11" s="15">
        <v>0</v>
      </c>
      <c r="D11" s="16">
        <v>0</v>
      </c>
      <c r="E11" s="16">
        <f t="shared" si="0"/>
        <v>100</v>
      </c>
      <c r="F11" s="17">
        <f t="shared" si="1"/>
        <v>1.25</v>
      </c>
      <c r="G11" s="15">
        <v>0</v>
      </c>
      <c r="H11" s="16">
        <v>0</v>
      </c>
      <c r="I11" s="16">
        <f t="shared" si="2"/>
        <v>100</v>
      </c>
      <c r="J11" s="17">
        <f t="shared" si="3"/>
        <v>1.25</v>
      </c>
      <c r="K11" s="15">
        <v>0</v>
      </c>
      <c r="L11" s="16">
        <v>0</v>
      </c>
      <c r="M11" s="16">
        <f t="shared" si="4"/>
        <v>100</v>
      </c>
      <c r="N11" s="17">
        <f t="shared" si="5"/>
        <v>1.25</v>
      </c>
      <c r="O11" s="15">
        <v>1</v>
      </c>
      <c r="P11" s="16">
        <v>1</v>
      </c>
      <c r="Q11" s="16">
        <f t="shared" si="6"/>
        <v>100</v>
      </c>
      <c r="R11" s="17">
        <f t="shared" si="7"/>
        <v>1.25</v>
      </c>
      <c r="S11" s="18">
        <f t="shared" si="8"/>
        <v>100</v>
      </c>
      <c r="T11" s="16">
        <f t="shared" si="9"/>
        <v>5</v>
      </c>
    </row>
    <row r="12" ht="15.75" spans="1:20">
      <c r="A12" s="13">
        <v>10</v>
      </c>
      <c r="B12" s="14" t="s">
        <v>121</v>
      </c>
      <c r="C12" s="15">
        <v>0</v>
      </c>
      <c r="D12" s="16">
        <v>0</v>
      </c>
      <c r="E12" s="16">
        <f t="shared" si="0"/>
        <v>100</v>
      </c>
      <c r="F12" s="17">
        <f t="shared" si="1"/>
        <v>1.25</v>
      </c>
      <c r="G12" s="15">
        <v>0</v>
      </c>
      <c r="H12" s="16">
        <v>0</v>
      </c>
      <c r="I12" s="16">
        <f t="shared" si="2"/>
        <v>100</v>
      </c>
      <c r="J12" s="17">
        <f t="shared" si="3"/>
        <v>1.25</v>
      </c>
      <c r="K12" s="15">
        <v>0</v>
      </c>
      <c r="L12" s="16">
        <v>0</v>
      </c>
      <c r="M12" s="16">
        <f t="shared" si="4"/>
        <v>100</v>
      </c>
      <c r="N12" s="17">
        <f t="shared" si="5"/>
        <v>1.25</v>
      </c>
      <c r="O12" s="15">
        <v>21</v>
      </c>
      <c r="P12" s="16">
        <v>21</v>
      </c>
      <c r="Q12" s="16">
        <f t="shared" si="6"/>
        <v>100</v>
      </c>
      <c r="R12" s="17">
        <f t="shared" si="7"/>
        <v>1.25</v>
      </c>
      <c r="S12" s="18">
        <f t="shared" si="8"/>
        <v>100</v>
      </c>
      <c r="T12" s="16">
        <f t="shared" si="9"/>
        <v>5</v>
      </c>
    </row>
    <row r="13" ht="15.75" spans="1:20">
      <c r="A13" s="13">
        <v>11</v>
      </c>
      <c r="B13" s="14" t="s">
        <v>122</v>
      </c>
      <c r="C13" s="15">
        <v>0</v>
      </c>
      <c r="D13" s="16">
        <v>0</v>
      </c>
      <c r="E13" s="16">
        <f t="shared" si="0"/>
        <v>100</v>
      </c>
      <c r="F13" s="17">
        <f t="shared" si="1"/>
        <v>1.25</v>
      </c>
      <c r="G13" s="15">
        <v>0</v>
      </c>
      <c r="H13" s="16">
        <v>0</v>
      </c>
      <c r="I13" s="16">
        <f t="shared" si="2"/>
        <v>100</v>
      </c>
      <c r="J13" s="17">
        <f t="shared" si="3"/>
        <v>1.25</v>
      </c>
      <c r="K13" s="15">
        <v>0</v>
      </c>
      <c r="L13" s="16">
        <v>0</v>
      </c>
      <c r="M13" s="16">
        <f t="shared" si="4"/>
        <v>100</v>
      </c>
      <c r="N13" s="17">
        <f t="shared" si="5"/>
        <v>1.25</v>
      </c>
      <c r="O13" s="15">
        <v>0</v>
      </c>
      <c r="P13" s="16">
        <v>0</v>
      </c>
      <c r="Q13" s="16">
        <f t="shared" si="6"/>
        <v>100</v>
      </c>
      <c r="R13" s="17">
        <f t="shared" si="7"/>
        <v>1.25</v>
      </c>
      <c r="S13" s="18">
        <f t="shared" si="8"/>
        <v>100</v>
      </c>
      <c r="T13" s="16">
        <f t="shared" si="9"/>
        <v>5</v>
      </c>
    </row>
    <row r="14" ht="15.75" spans="1:20">
      <c r="A14" s="13">
        <v>12</v>
      </c>
      <c r="B14" s="14" t="s">
        <v>123</v>
      </c>
      <c r="C14" s="15">
        <v>0</v>
      </c>
      <c r="D14" s="16">
        <v>0</v>
      </c>
      <c r="E14" s="16">
        <f t="shared" si="0"/>
        <v>100</v>
      </c>
      <c r="F14" s="17">
        <f t="shared" si="1"/>
        <v>1.25</v>
      </c>
      <c r="G14" s="15">
        <v>0</v>
      </c>
      <c r="H14" s="16">
        <v>0</v>
      </c>
      <c r="I14" s="16">
        <f t="shared" si="2"/>
        <v>100</v>
      </c>
      <c r="J14" s="17">
        <f t="shared" si="3"/>
        <v>1.25</v>
      </c>
      <c r="K14" s="15">
        <v>0</v>
      </c>
      <c r="L14" s="16">
        <v>0</v>
      </c>
      <c r="M14" s="16">
        <f t="shared" si="4"/>
        <v>100</v>
      </c>
      <c r="N14" s="17">
        <f t="shared" si="5"/>
        <v>1.25</v>
      </c>
      <c r="O14" s="15">
        <v>0</v>
      </c>
      <c r="P14" s="16">
        <v>0</v>
      </c>
      <c r="Q14" s="16">
        <f t="shared" si="6"/>
        <v>100</v>
      </c>
      <c r="R14" s="17">
        <f t="shared" si="7"/>
        <v>1.25</v>
      </c>
      <c r="S14" s="18">
        <f t="shared" si="8"/>
        <v>100</v>
      </c>
      <c r="T14" s="16">
        <f t="shared" si="9"/>
        <v>5</v>
      </c>
    </row>
    <row r="15" ht="15.75" spans="1:20">
      <c r="A15" s="13">
        <v>13</v>
      </c>
      <c r="B15" s="14" t="s">
        <v>32</v>
      </c>
      <c r="C15" s="15">
        <v>0</v>
      </c>
      <c r="D15" s="16">
        <v>0</v>
      </c>
      <c r="E15" s="16">
        <f t="shared" si="0"/>
        <v>100</v>
      </c>
      <c r="F15" s="17">
        <f t="shared" si="1"/>
        <v>1.25</v>
      </c>
      <c r="G15" s="15">
        <v>0</v>
      </c>
      <c r="H15" s="16">
        <v>0</v>
      </c>
      <c r="I15" s="16">
        <f t="shared" si="2"/>
        <v>100</v>
      </c>
      <c r="J15" s="17">
        <f t="shared" si="3"/>
        <v>1.25</v>
      </c>
      <c r="K15" s="15">
        <v>0</v>
      </c>
      <c r="L15" s="16">
        <v>0</v>
      </c>
      <c r="M15" s="16">
        <f t="shared" si="4"/>
        <v>100</v>
      </c>
      <c r="N15" s="17">
        <f t="shared" si="5"/>
        <v>1.25</v>
      </c>
      <c r="O15" s="15">
        <v>0</v>
      </c>
      <c r="P15" s="16">
        <v>0</v>
      </c>
      <c r="Q15" s="16">
        <f t="shared" si="6"/>
        <v>100</v>
      </c>
      <c r="R15" s="17">
        <f t="shared" si="7"/>
        <v>1.25</v>
      </c>
      <c r="S15" s="18">
        <f t="shared" si="8"/>
        <v>100</v>
      </c>
      <c r="T15" s="16">
        <f t="shared" si="9"/>
        <v>5</v>
      </c>
    </row>
    <row r="16" ht="15.75" spans="1:20">
      <c r="A16" s="13">
        <v>14</v>
      </c>
      <c r="B16" s="14" t="s">
        <v>16</v>
      </c>
      <c r="C16" s="15">
        <v>0</v>
      </c>
      <c r="D16" s="16">
        <v>0</v>
      </c>
      <c r="E16" s="16">
        <f t="shared" si="0"/>
        <v>100</v>
      </c>
      <c r="F16" s="17">
        <f t="shared" si="1"/>
        <v>1.25</v>
      </c>
      <c r="G16" s="15">
        <v>0</v>
      </c>
      <c r="H16" s="16">
        <v>0</v>
      </c>
      <c r="I16" s="16">
        <f t="shared" si="2"/>
        <v>100</v>
      </c>
      <c r="J16" s="17">
        <f t="shared" si="3"/>
        <v>1.25</v>
      </c>
      <c r="K16" s="15">
        <v>0</v>
      </c>
      <c r="L16" s="16">
        <v>0</v>
      </c>
      <c r="M16" s="16">
        <f t="shared" si="4"/>
        <v>100</v>
      </c>
      <c r="N16" s="17">
        <f t="shared" si="5"/>
        <v>1.25</v>
      </c>
      <c r="O16" s="15">
        <v>0</v>
      </c>
      <c r="P16" s="16">
        <v>0</v>
      </c>
      <c r="Q16" s="16">
        <f t="shared" si="6"/>
        <v>100</v>
      </c>
      <c r="R16" s="17">
        <f t="shared" si="7"/>
        <v>1.25</v>
      </c>
      <c r="S16" s="18">
        <f t="shared" si="8"/>
        <v>100</v>
      </c>
      <c r="T16" s="16">
        <f t="shared" si="9"/>
        <v>5</v>
      </c>
    </row>
    <row r="17" ht="15.75" spans="1:20">
      <c r="A17" s="13">
        <v>15</v>
      </c>
      <c r="B17" s="14" t="s">
        <v>124</v>
      </c>
      <c r="C17" s="15">
        <v>0</v>
      </c>
      <c r="D17" s="16">
        <v>0</v>
      </c>
      <c r="E17" s="16">
        <f t="shared" si="0"/>
        <v>100</v>
      </c>
      <c r="F17" s="17">
        <f t="shared" si="1"/>
        <v>1.25</v>
      </c>
      <c r="G17" s="15">
        <v>0</v>
      </c>
      <c r="H17" s="16">
        <v>0</v>
      </c>
      <c r="I17" s="16">
        <f t="shared" si="2"/>
        <v>100</v>
      </c>
      <c r="J17" s="17">
        <f t="shared" si="3"/>
        <v>1.25</v>
      </c>
      <c r="K17" s="15">
        <v>0</v>
      </c>
      <c r="L17" s="16">
        <v>0</v>
      </c>
      <c r="M17" s="16">
        <f t="shared" si="4"/>
        <v>100</v>
      </c>
      <c r="N17" s="17">
        <f t="shared" si="5"/>
        <v>1.25</v>
      </c>
      <c r="O17" s="15">
        <v>4</v>
      </c>
      <c r="P17" s="16">
        <v>4</v>
      </c>
      <c r="Q17" s="16">
        <f t="shared" si="6"/>
        <v>100</v>
      </c>
      <c r="R17" s="17">
        <f t="shared" si="7"/>
        <v>1.25</v>
      </c>
      <c r="S17" s="18">
        <f t="shared" si="8"/>
        <v>100</v>
      </c>
      <c r="T17" s="16">
        <f t="shared" si="9"/>
        <v>5</v>
      </c>
    </row>
    <row r="18" ht="15.75" spans="1:20">
      <c r="A18" s="13">
        <v>16</v>
      </c>
      <c r="B18" s="14" t="s">
        <v>13</v>
      </c>
      <c r="C18" s="15">
        <v>0</v>
      </c>
      <c r="D18" s="16">
        <v>0</v>
      </c>
      <c r="E18" s="16">
        <f t="shared" si="0"/>
        <v>100</v>
      </c>
      <c r="F18" s="17">
        <f t="shared" si="1"/>
        <v>1.25</v>
      </c>
      <c r="G18" s="15">
        <v>0</v>
      </c>
      <c r="H18" s="16">
        <v>0</v>
      </c>
      <c r="I18" s="16">
        <f t="shared" si="2"/>
        <v>100</v>
      </c>
      <c r="J18" s="17">
        <f t="shared" si="3"/>
        <v>1.25</v>
      </c>
      <c r="K18" s="15">
        <v>0</v>
      </c>
      <c r="L18" s="16">
        <v>0</v>
      </c>
      <c r="M18" s="16">
        <f t="shared" si="4"/>
        <v>100</v>
      </c>
      <c r="N18" s="17">
        <f t="shared" si="5"/>
        <v>1.25</v>
      </c>
      <c r="O18" s="15">
        <v>0</v>
      </c>
      <c r="P18" s="16">
        <v>0</v>
      </c>
      <c r="Q18" s="16">
        <f t="shared" si="6"/>
        <v>100</v>
      </c>
      <c r="R18" s="17">
        <f t="shared" si="7"/>
        <v>1.25</v>
      </c>
      <c r="S18" s="18">
        <f t="shared" si="8"/>
        <v>100</v>
      </c>
      <c r="T18" s="16">
        <f t="shared" si="9"/>
        <v>5</v>
      </c>
    </row>
    <row r="19" ht="15.75" spans="1:20">
      <c r="A19" s="13">
        <v>17</v>
      </c>
      <c r="B19" s="14" t="s">
        <v>12</v>
      </c>
      <c r="C19" s="15">
        <v>0</v>
      </c>
      <c r="D19" s="16">
        <v>0</v>
      </c>
      <c r="E19" s="16">
        <f t="shared" si="0"/>
        <v>100</v>
      </c>
      <c r="F19" s="17">
        <f t="shared" si="1"/>
        <v>1.25</v>
      </c>
      <c r="G19" s="15">
        <v>0</v>
      </c>
      <c r="H19" s="16">
        <v>0</v>
      </c>
      <c r="I19" s="16">
        <f t="shared" si="2"/>
        <v>100</v>
      </c>
      <c r="J19" s="17">
        <f t="shared" si="3"/>
        <v>1.25</v>
      </c>
      <c r="K19" s="15">
        <v>0</v>
      </c>
      <c r="L19" s="16">
        <v>0</v>
      </c>
      <c r="M19" s="16">
        <f t="shared" si="4"/>
        <v>100</v>
      </c>
      <c r="N19" s="17">
        <f t="shared" si="5"/>
        <v>1.25</v>
      </c>
      <c r="O19" s="15">
        <v>0</v>
      </c>
      <c r="P19" s="16">
        <v>0</v>
      </c>
      <c r="Q19" s="16">
        <f t="shared" si="6"/>
        <v>100</v>
      </c>
      <c r="R19" s="17">
        <f t="shared" si="7"/>
        <v>1.25</v>
      </c>
      <c r="S19" s="18">
        <f t="shared" si="8"/>
        <v>100</v>
      </c>
      <c r="T19" s="16">
        <f t="shared" si="9"/>
        <v>5</v>
      </c>
    </row>
    <row r="20" ht="15.75" spans="1:20">
      <c r="A20" s="13">
        <v>18</v>
      </c>
      <c r="B20" s="14" t="s">
        <v>125</v>
      </c>
      <c r="C20" s="15">
        <v>0</v>
      </c>
      <c r="D20" s="16">
        <v>0</v>
      </c>
      <c r="E20" s="16">
        <f t="shared" si="0"/>
        <v>100</v>
      </c>
      <c r="F20" s="17">
        <f t="shared" si="1"/>
        <v>1.25</v>
      </c>
      <c r="G20" s="15">
        <v>0</v>
      </c>
      <c r="H20" s="16">
        <v>0</v>
      </c>
      <c r="I20" s="16">
        <f t="shared" si="2"/>
        <v>100</v>
      </c>
      <c r="J20" s="17">
        <f t="shared" si="3"/>
        <v>1.25</v>
      </c>
      <c r="K20" s="15">
        <v>0</v>
      </c>
      <c r="L20" s="16">
        <v>0</v>
      </c>
      <c r="M20" s="16">
        <f t="shared" si="4"/>
        <v>100</v>
      </c>
      <c r="N20" s="17">
        <f t="shared" si="5"/>
        <v>1.25</v>
      </c>
      <c r="O20" s="15">
        <v>14</v>
      </c>
      <c r="P20" s="16">
        <v>14</v>
      </c>
      <c r="Q20" s="16">
        <f t="shared" si="6"/>
        <v>100</v>
      </c>
      <c r="R20" s="17">
        <f t="shared" si="7"/>
        <v>1.25</v>
      </c>
      <c r="S20" s="18">
        <f t="shared" si="8"/>
        <v>100</v>
      </c>
      <c r="T20" s="16">
        <f t="shared" si="9"/>
        <v>5</v>
      </c>
    </row>
    <row r="21" ht="15.75" spans="1:20">
      <c r="A21" s="13">
        <v>19</v>
      </c>
      <c r="B21" s="14" t="s">
        <v>30</v>
      </c>
      <c r="C21" s="15">
        <v>0</v>
      </c>
      <c r="D21" s="16">
        <v>0</v>
      </c>
      <c r="E21" s="16">
        <f t="shared" si="0"/>
        <v>100</v>
      </c>
      <c r="F21" s="17">
        <f t="shared" si="1"/>
        <v>1.25</v>
      </c>
      <c r="G21" s="15">
        <v>0</v>
      </c>
      <c r="H21" s="16">
        <v>0</v>
      </c>
      <c r="I21" s="16">
        <f t="shared" si="2"/>
        <v>100</v>
      </c>
      <c r="J21" s="17">
        <f t="shared" si="3"/>
        <v>1.25</v>
      </c>
      <c r="K21" s="15">
        <v>0</v>
      </c>
      <c r="L21" s="16">
        <v>0</v>
      </c>
      <c r="M21" s="16">
        <f t="shared" si="4"/>
        <v>100</v>
      </c>
      <c r="N21" s="17">
        <f t="shared" si="5"/>
        <v>1.25</v>
      </c>
      <c r="O21" s="15">
        <v>0</v>
      </c>
      <c r="P21" s="16">
        <v>0</v>
      </c>
      <c r="Q21" s="16">
        <f t="shared" si="6"/>
        <v>100</v>
      </c>
      <c r="R21" s="17">
        <f t="shared" si="7"/>
        <v>1.25</v>
      </c>
      <c r="S21" s="18">
        <f t="shared" si="8"/>
        <v>100</v>
      </c>
      <c r="T21" s="16">
        <f t="shared" si="9"/>
        <v>5</v>
      </c>
    </row>
    <row r="22" ht="15.75" spans="1:20">
      <c r="A22" s="13">
        <v>20</v>
      </c>
      <c r="B22" s="14" t="s">
        <v>15</v>
      </c>
      <c r="C22" s="15">
        <v>0</v>
      </c>
      <c r="D22" s="16">
        <v>0</v>
      </c>
      <c r="E22" s="16">
        <f t="shared" si="0"/>
        <v>100</v>
      </c>
      <c r="F22" s="17">
        <f t="shared" si="1"/>
        <v>1.25</v>
      </c>
      <c r="G22" s="15">
        <v>0</v>
      </c>
      <c r="H22" s="16">
        <v>0</v>
      </c>
      <c r="I22" s="16">
        <f t="shared" si="2"/>
        <v>100</v>
      </c>
      <c r="J22" s="17">
        <f t="shared" si="3"/>
        <v>1.25</v>
      </c>
      <c r="K22" s="15">
        <v>0</v>
      </c>
      <c r="L22" s="16">
        <v>0</v>
      </c>
      <c r="M22" s="16">
        <f t="shared" si="4"/>
        <v>100</v>
      </c>
      <c r="N22" s="17">
        <f t="shared" si="5"/>
        <v>1.25</v>
      </c>
      <c r="O22" s="15">
        <v>0</v>
      </c>
      <c r="P22" s="16">
        <v>0</v>
      </c>
      <c r="Q22" s="16">
        <f t="shared" si="6"/>
        <v>100</v>
      </c>
      <c r="R22" s="17">
        <f t="shared" si="7"/>
        <v>1.25</v>
      </c>
      <c r="S22" s="18">
        <f t="shared" si="8"/>
        <v>100</v>
      </c>
      <c r="T22" s="16">
        <f t="shared" si="9"/>
        <v>5</v>
      </c>
    </row>
    <row r="23" ht="15.75" spans="1:20">
      <c r="A23" s="13">
        <v>21</v>
      </c>
      <c r="B23" s="14" t="s">
        <v>17</v>
      </c>
      <c r="C23" s="15">
        <v>0</v>
      </c>
      <c r="D23" s="16">
        <v>0</v>
      </c>
      <c r="E23" s="16">
        <f t="shared" si="0"/>
        <v>100</v>
      </c>
      <c r="F23" s="17">
        <f t="shared" si="1"/>
        <v>1.25</v>
      </c>
      <c r="G23" s="15">
        <v>0</v>
      </c>
      <c r="H23" s="16">
        <v>0</v>
      </c>
      <c r="I23" s="16">
        <f t="shared" si="2"/>
        <v>100</v>
      </c>
      <c r="J23" s="17">
        <f t="shared" si="3"/>
        <v>1.25</v>
      </c>
      <c r="K23" s="15">
        <v>0</v>
      </c>
      <c r="L23" s="16">
        <v>0</v>
      </c>
      <c r="M23" s="16">
        <f t="shared" si="4"/>
        <v>100</v>
      </c>
      <c r="N23" s="17">
        <f t="shared" si="5"/>
        <v>1.25</v>
      </c>
      <c r="O23" s="15">
        <v>0</v>
      </c>
      <c r="P23" s="16">
        <v>0</v>
      </c>
      <c r="Q23" s="16">
        <f t="shared" si="6"/>
        <v>100</v>
      </c>
      <c r="R23" s="17">
        <f t="shared" si="7"/>
        <v>1.25</v>
      </c>
      <c r="S23" s="18">
        <f t="shared" si="8"/>
        <v>100</v>
      </c>
      <c r="T23" s="16">
        <f t="shared" si="9"/>
        <v>5</v>
      </c>
    </row>
    <row r="24" ht="15.75" spans="1:20">
      <c r="A24" s="13">
        <v>22</v>
      </c>
      <c r="B24" s="14" t="s">
        <v>19</v>
      </c>
      <c r="C24" s="15">
        <v>0</v>
      </c>
      <c r="D24" s="16">
        <v>0</v>
      </c>
      <c r="E24" s="16">
        <f t="shared" si="0"/>
        <v>100</v>
      </c>
      <c r="F24" s="17">
        <f t="shared" si="1"/>
        <v>1.25</v>
      </c>
      <c r="G24" s="15">
        <v>0</v>
      </c>
      <c r="H24" s="16">
        <v>0</v>
      </c>
      <c r="I24" s="16">
        <f t="shared" si="2"/>
        <v>100</v>
      </c>
      <c r="J24" s="17">
        <f t="shared" si="3"/>
        <v>1.25</v>
      </c>
      <c r="K24" s="15">
        <v>0</v>
      </c>
      <c r="L24" s="16">
        <v>0</v>
      </c>
      <c r="M24" s="16">
        <f t="shared" si="4"/>
        <v>100</v>
      </c>
      <c r="N24" s="17">
        <f t="shared" si="5"/>
        <v>1.25</v>
      </c>
      <c r="O24" s="15">
        <v>0</v>
      </c>
      <c r="P24" s="16">
        <v>0</v>
      </c>
      <c r="Q24" s="16">
        <f t="shared" si="6"/>
        <v>100</v>
      </c>
      <c r="R24" s="17">
        <f t="shared" si="7"/>
        <v>1.25</v>
      </c>
      <c r="S24" s="18">
        <f t="shared" si="8"/>
        <v>100</v>
      </c>
      <c r="T24" s="16">
        <f t="shared" si="9"/>
        <v>5</v>
      </c>
    </row>
    <row r="25" ht="15.75" spans="1:20">
      <c r="A25" s="13">
        <v>23</v>
      </c>
      <c r="B25" s="14" t="s">
        <v>14</v>
      </c>
      <c r="C25" s="15">
        <v>0</v>
      </c>
      <c r="D25" s="16">
        <v>0</v>
      </c>
      <c r="E25" s="16">
        <f t="shared" si="0"/>
        <v>100</v>
      </c>
      <c r="F25" s="17">
        <f t="shared" si="1"/>
        <v>1.25</v>
      </c>
      <c r="G25" s="15">
        <v>0</v>
      </c>
      <c r="H25" s="16">
        <v>0</v>
      </c>
      <c r="I25" s="16">
        <f t="shared" si="2"/>
        <v>100</v>
      </c>
      <c r="J25" s="17">
        <f t="shared" si="3"/>
        <v>1.25</v>
      </c>
      <c r="K25" s="15">
        <v>0</v>
      </c>
      <c r="L25" s="16">
        <v>0</v>
      </c>
      <c r="M25" s="16">
        <f t="shared" si="4"/>
        <v>100</v>
      </c>
      <c r="N25" s="17">
        <f t="shared" si="5"/>
        <v>1.25</v>
      </c>
      <c r="O25" s="15">
        <v>0</v>
      </c>
      <c r="P25" s="16">
        <v>0</v>
      </c>
      <c r="Q25" s="16">
        <f t="shared" si="6"/>
        <v>100</v>
      </c>
      <c r="R25" s="17">
        <f t="shared" si="7"/>
        <v>1.25</v>
      </c>
      <c r="S25" s="18">
        <f t="shared" si="8"/>
        <v>100</v>
      </c>
      <c r="T25" s="16">
        <f t="shared" si="9"/>
        <v>5</v>
      </c>
    </row>
    <row r="26" ht="15.75" spans="1:20">
      <c r="A26" s="13">
        <v>24</v>
      </c>
      <c r="B26" s="14" t="s">
        <v>18</v>
      </c>
      <c r="C26" s="15">
        <v>0</v>
      </c>
      <c r="D26" s="16">
        <v>0</v>
      </c>
      <c r="E26" s="16">
        <f t="shared" si="0"/>
        <v>100</v>
      </c>
      <c r="F26" s="17">
        <f t="shared" si="1"/>
        <v>1.25</v>
      </c>
      <c r="G26" s="15">
        <v>0</v>
      </c>
      <c r="H26" s="16">
        <v>0</v>
      </c>
      <c r="I26" s="16">
        <f t="shared" si="2"/>
        <v>100</v>
      </c>
      <c r="J26" s="17">
        <f t="shared" si="3"/>
        <v>1.25</v>
      </c>
      <c r="K26" s="15">
        <v>0</v>
      </c>
      <c r="L26" s="16">
        <v>0</v>
      </c>
      <c r="M26" s="16">
        <f t="shared" si="4"/>
        <v>100</v>
      </c>
      <c r="N26" s="17">
        <f t="shared" si="5"/>
        <v>1.25</v>
      </c>
      <c r="O26" s="15">
        <v>0</v>
      </c>
      <c r="P26" s="16">
        <v>0</v>
      </c>
      <c r="Q26" s="16">
        <f t="shared" si="6"/>
        <v>100</v>
      </c>
      <c r="R26" s="17">
        <f t="shared" si="7"/>
        <v>1.25</v>
      </c>
      <c r="S26" s="18">
        <f t="shared" si="8"/>
        <v>100</v>
      </c>
      <c r="T26" s="16">
        <f t="shared" si="9"/>
        <v>5</v>
      </c>
    </row>
    <row r="27" ht="15.75" spans="1:20">
      <c r="A27" s="13">
        <v>25</v>
      </c>
      <c r="B27" s="14" t="s">
        <v>9</v>
      </c>
      <c r="C27" s="15">
        <v>0</v>
      </c>
      <c r="D27" s="16">
        <v>0</v>
      </c>
      <c r="E27" s="16">
        <f t="shared" si="0"/>
        <v>100</v>
      </c>
      <c r="F27" s="17">
        <f t="shared" si="1"/>
        <v>1.25</v>
      </c>
      <c r="G27" s="15">
        <v>0</v>
      </c>
      <c r="H27" s="16">
        <v>0</v>
      </c>
      <c r="I27" s="16">
        <f t="shared" si="2"/>
        <v>100</v>
      </c>
      <c r="J27" s="17">
        <f t="shared" si="3"/>
        <v>1.25</v>
      </c>
      <c r="K27" s="15">
        <v>0</v>
      </c>
      <c r="L27" s="16">
        <v>0</v>
      </c>
      <c r="M27" s="16">
        <f t="shared" si="4"/>
        <v>100</v>
      </c>
      <c r="N27" s="17">
        <f t="shared" si="5"/>
        <v>1.25</v>
      </c>
      <c r="O27" s="15">
        <v>0</v>
      </c>
      <c r="P27" s="16">
        <v>0</v>
      </c>
      <c r="Q27" s="16">
        <f t="shared" si="6"/>
        <v>100</v>
      </c>
      <c r="R27" s="17">
        <f t="shared" si="7"/>
        <v>1.25</v>
      </c>
      <c r="S27" s="18">
        <f t="shared" si="8"/>
        <v>100</v>
      </c>
      <c r="T27" s="16">
        <f t="shared" si="9"/>
        <v>5</v>
      </c>
    </row>
    <row r="28" ht="15.75" spans="1:20">
      <c r="A28" s="13">
        <v>26</v>
      </c>
      <c r="B28" s="14" t="s">
        <v>29</v>
      </c>
      <c r="C28" s="15">
        <v>0</v>
      </c>
      <c r="D28" s="16">
        <v>0</v>
      </c>
      <c r="E28" s="16">
        <f t="shared" si="0"/>
        <v>100</v>
      </c>
      <c r="F28" s="17">
        <f t="shared" si="1"/>
        <v>1.25</v>
      </c>
      <c r="G28" s="15">
        <v>0</v>
      </c>
      <c r="H28" s="16">
        <v>0</v>
      </c>
      <c r="I28" s="16">
        <f t="shared" si="2"/>
        <v>100</v>
      </c>
      <c r="J28" s="17">
        <f t="shared" si="3"/>
        <v>1.25</v>
      </c>
      <c r="K28" s="15">
        <v>0</v>
      </c>
      <c r="L28" s="16">
        <v>0</v>
      </c>
      <c r="M28" s="16">
        <f t="shared" si="4"/>
        <v>100</v>
      </c>
      <c r="N28" s="17">
        <f t="shared" si="5"/>
        <v>1.25</v>
      </c>
      <c r="O28" s="15">
        <v>0</v>
      </c>
      <c r="P28" s="16">
        <v>0</v>
      </c>
      <c r="Q28" s="16">
        <f t="shared" si="6"/>
        <v>100</v>
      </c>
      <c r="R28" s="17">
        <f t="shared" si="7"/>
        <v>1.25</v>
      </c>
      <c r="S28" s="18">
        <f t="shared" si="8"/>
        <v>100</v>
      </c>
      <c r="T28" s="16">
        <f t="shared" si="9"/>
        <v>5</v>
      </c>
    </row>
    <row r="29" ht="15.75" spans="1:20">
      <c r="A29" s="13">
        <v>27</v>
      </c>
      <c r="B29" s="14" t="s">
        <v>7</v>
      </c>
      <c r="C29" s="15">
        <v>0</v>
      </c>
      <c r="D29" s="16">
        <v>0</v>
      </c>
      <c r="E29" s="16">
        <f t="shared" si="0"/>
        <v>100</v>
      </c>
      <c r="F29" s="17">
        <f t="shared" si="1"/>
        <v>1.25</v>
      </c>
      <c r="G29" s="15">
        <v>0</v>
      </c>
      <c r="H29" s="16">
        <v>0</v>
      </c>
      <c r="I29" s="16">
        <f t="shared" si="2"/>
        <v>100</v>
      </c>
      <c r="J29" s="17">
        <f t="shared" si="3"/>
        <v>1.25</v>
      </c>
      <c r="K29" s="15">
        <v>0</v>
      </c>
      <c r="L29" s="16">
        <v>0</v>
      </c>
      <c r="M29" s="16">
        <f t="shared" si="4"/>
        <v>100</v>
      </c>
      <c r="N29" s="17">
        <f t="shared" si="5"/>
        <v>1.25</v>
      </c>
      <c r="O29" s="15">
        <v>0</v>
      </c>
      <c r="P29" s="16">
        <v>0</v>
      </c>
      <c r="Q29" s="16">
        <f t="shared" si="6"/>
        <v>100</v>
      </c>
      <c r="R29" s="17">
        <f t="shared" si="7"/>
        <v>1.25</v>
      </c>
      <c r="S29" s="18">
        <f t="shared" si="8"/>
        <v>100</v>
      </c>
      <c r="T29" s="16">
        <f t="shared" si="9"/>
        <v>5</v>
      </c>
    </row>
    <row r="30" ht="15.75" spans="1:20">
      <c r="A30" s="13">
        <v>28</v>
      </c>
      <c r="B30" s="14" t="s">
        <v>21</v>
      </c>
      <c r="C30" s="15">
        <v>0</v>
      </c>
      <c r="D30" s="16">
        <v>0</v>
      </c>
      <c r="E30" s="16">
        <f t="shared" si="0"/>
        <v>100</v>
      </c>
      <c r="F30" s="17">
        <f t="shared" si="1"/>
        <v>1.25</v>
      </c>
      <c r="G30" s="15">
        <v>0</v>
      </c>
      <c r="H30" s="16">
        <v>0</v>
      </c>
      <c r="I30" s="16">
        <f t="shared" si="2"/>
        <v>100</v>
      </c>
      <c r="J30" s="17">
        <f t="shared" si="3"/>
        <v>1.25</v>
      </c>
      <c r="K30" s="15">
        <v>0</v>
      </c>
      <c r="L30" s="16">
        <v>0</v>
      </c>
      <c r="M30" s="16">
        <f t="shared" si="4"/>
        <v>100</v>
      </c>
      <c r="N30" s="17">
        <f t="shared" si="5"/>
        <v>1.25</v>
      </c>
      <c r="O30" s="15">
        <v>0</v>
      </c>
      <c r="P30" s="16">
        <v>0</v>
      </c>
      <c r="Q30" s="16">
        <f t="shared" si="6"/>
        <v>100</v>
      </c>
      <c r="R30" s="17">
        <f t="shared" si="7"/>
        <v>1.25</v>
      </c>
      <c r="S30" s="18">
        <f t="shared" si="8"/>
        <v>100</v>
      </c>
      <c r="T30" s="16">
        <f t="shared" si="9"/>
        <v>5</v>
      </c>
    </row>
    <row r="31" s="2" customFormat="1" ht="16.5" spans="1:20">
      <c r="A31" s="19" t="s">
        <v>126</v>
      </c>
      <c r="B31" s="20" t="s">
        <v>35</v>
      </c>
      <c r="C31" s="21">
        <f>SUM(C3:C30)</f>
        <v>0</v>
      </c>
      <c r="D31" s="22">
        <f>SUM(D3:D30)</f>
        <v>0</v>
      </c>
      <c r="E31" s="23">
        <f t="shared" si="0"/>
        <v>100</v>
      </c>
      <c r="F31" s="24">
        <f t="shared" si="1"/>
        <v>1.25</v>
      </c>
      <c r="G31" s="21">
        <f>SUM(G3:G30)</f>
        <v>0</v>
      </c>
      <c r="H31" s="22">
        <f>SUM(H3:H30)</f>
        <v>0</v>
      </c>
      <c r="I31" s="23">
        <f t="shared" si="2"/>
        <v>100</v>
      </c>
      <c r="J31" s="24">
        <f t="shared" si="3"/>
        <v>1.25</v>
      </c>
      <c r="K31" s="21">
        <f>SUM(K3:K30)</f>
        <v>0</v>
      </c>
      <c r="L31" s="22">
        <f>SUM(L3:L30)</f>
        <v>0</v>
      </c>
      <c r="M31" s="23">
        <f t="shared" si="4"/>
        <v>100</v>
      </c>
      <c r="N31" s="24">
        <f t="shared" si="5"/>
        <v>1.25</v>
      </c>
      <c r="O31" s="21">
        <f>SUM(O3:O30)</f>
        <v>40</v>
      </c>
      <c r="P31" s="22">
        <f>SUM(P3:P30)</f>
        <v>40</v>
      </c>
      <c r="Q31" s="23">
        <f>IFERROR(P31/O31*100,0)</f>
        <v>100</v>
      </c>
      <c r="R31" s="24">
        <f t="shared" si="7"/>
        <v>1.25</v>
      </c>
      <c r="S31" s="18">
        <f t="shared" si="8"/>
        <v>100</v>
      </c>
      <c r="T31" s="16">
        <f t="shared" si="9"/>
        <v>5</v>
      </c>
    </row>
  </sheetData>
  <mergeCells count="1">
    <mergeCell ref="A1:T1"/>
  </mergeCells>
  <pageMargins left="0.472222222222222" right="0.354166666666667" top="0.432638888888889" bottom="0.432638888888889" header="0.236111111111111" footer="0.236111111111111"/>
  <pageSetup paperSize="5" scale="93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MedLEaPR-MLC</vt:lpstr>
      <vt:lpstr>MedLEaPR-PMR</vt:lpstr>
      <vt:lpstr>DGP Dashboard</vt:lpstr>
      <vt:lpstr>IIFS-TILLDATE</vt:lpstr>
      <vt:lpstr>IIF1-7</vt:lpstr>
      <vt:lpstr>IIF8-15</vt:lpstr>
      <vt:lpstr>ZERO FIR</vt:lpstr>
      <vt:lpstr>eProsecution</vt:lpstr>
      <vt:lpstr>CitizenportaPetition</vt:lpstr>
      <vt:lpstr>eSakshya</vt:lpstr>
      <vt:lpstr>Cri.MAC</vt:lpstr>
      <vt:lpstr>FIRs&amp;CS Consm in Court</vt:lpstr>
      <vt:lpstr>APOLIS</vt:lpstr>
      <vt:lpstr>DroneFlying</vt:lpstr>
      <vt:lpstr>Dail-112 TABs</vt:lpstr>
      <vt:lpstr>Dail-112 Response</vt:lpstr>
      <vt:lpstr>CCTV360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PANYA</dc:creator>
  <cp:lastModifiedBy>ITCT Annamayya</cp:lastModifiedBy>
  <dcterms:created xsi:type="dcterms:W3CDTF">2026-06-14T05:06:00Z</dcterms:created>
  <dcterms:modified xsi:type="dcterms:W3CDTF">2026-06-17T03:54:01Z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3933F31975294C3CAACB4CF0AC2BCD96_11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